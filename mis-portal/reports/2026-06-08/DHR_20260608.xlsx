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5" fontId="4" fillId="5" borderId="1" applyAlignment="1" pivotButton="0" quotePrefix="0" xfId="0">
      <alignment horizontal="center"/>
    </xf>
    <xf numFmtId="166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left" wrapText="1" indent="2"/>
    </xf>
    <xf numFmtId="165" fontId="4" fillId="6" borderId="1" applyAlignment="1" pivotButton="0" quotePrefix="0" xfId="0">
      <alignment horizontal="center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indent="1"/>
    </xf>
    <xf numFmtId="166" fontId="3" fillId="7" borderId="1" applyAlignment="1" pivotButton="0" quotePrefix="0" xfId="0">
      <alignment horizontal="right"/>
    </xf>
    <xf numFmtId="0" fontId="3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DHR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ICICI Prudential All Seasons Bond Fund - Growth</t>
        </is>
      </c>
      <c r="B5" s="5" t="n">
        <v>45013</v>
      </c>
      <c r="C5" s="6" t="n">
        <v>35736973.74</v>
      </c>
      <c r="D5" s="6" t="n">
        <v>44456500.01</v>
      </c>
      <c r="E5" s="6" t="n">
        <v>44456500.0119</v>
      </c>
      <c r="F5" s="6" t="n">
        <v>44314438.31</v>
      </c>
      <c r="G5" s="6" t="n">
        <v>142061.7</v>
      </c>
      <c r="H5" s="6" t="n">
        <v>680156.65</v>
      </c>
      <c r="I5" s="6" t="n">
        <v>8719526.27</v>
      </c>
      <c r="J5" s="7" t="n">
        <v>0.015537</v>
      </c>
      <c r="K5" s="7" t="n">
        <v>0.243992</v>
      </c>
      <c r="L5" s="7" t="n">
        <v>0.070658</v>
      </c>
      <c r="M5" s="8" t="inlineStr"/>
    </row>
    <row r="6">
      <c r="A6" s="9" t="inlineStr">
        <is>
          <t>ICICI Prudential Liquid Fund - Growth</t>
        </is>
      </c>
      <c r="B6" s="10" t="n">
        <v>43605</v>
      </c>
      <c r="C6" s="11" t="n">
        <v>1347091.53</v>
      </c>
      <c r="D6" s="11" t="n">
        <v>1399808.58</v>
      </c>
      <c r="E6" s="11" t="n">
        <v>1399808.5849</v>
      </c>
      <c r="F6" s="11" t="n">
        <v>1397408.48</v>
      </c>
      <c r="G6" s="11" t="n">
        <v>2400.1</v>
      </c>
      <c r="H6" s="11" t="n">
        <v>17372.46</v>
      </c>
      <c r="I6" s="11" t="n">
        <v>52717.05</v>
      </c>
      <c r="J6" s="12" t="n">
        <v>0.012567</v>
      </c>
      <c r="K6" s="12" t="n">
        <v>0.039134</v>
      </c>
      <c r="L6" s="12" t="n">
        <v>0.005457999999999999</v>
      </c>
      <c r="M6" s="13" t="inlineStr"/>
    </row>
    <row r="7">
      <c r="A7" s="4" t="inlineStr">
        <is>
          <t>ICICI Prudential Savings Fund - Growth</t>
        </is>
      </c>
      <c r="B7" s="5" t="n">
        <v>42227</v>
      </c>
      <c r="C7" s="6" t="n">
        <v>2080438.49</v>
      </c>
      <c r="D7" s="6" t="n">
        <v>2097065.79</v>
      </c>
      <c r="E7" s="6" t="n">
        <v>2097065.7917</v>
      </c>
      <c r="F7" s="6" t="n">
        <v>2090634.21</v>
      </c>
      <c r="G7" s="6" t="n">
        <v>6431.58</v>
      </c>
      <c r="H7" s="6" t="n">
        <v>20285.29</v>
      </c>
      <c r="I7" s="6" t="n">
        <v>16627.3</v>
      </c>
      <c r="J7" s="7" t="n">
        <v>0.009768000000000001</v>
      </c>
      <c r="K7" s="7" t="n">
        <v>0.007992000000000001</v>
      </c>
      <c r="L7" s="7" t="n">
        <v>0.000736</v>
      </c>
      <c r="M7" s="8" t="inlineStr"/>
    </row>
    <row r="8">
      <c r="A8" s="9" t="inlineStr">
        <is>
          <t>SBI Savings Fund - Regular Plan - Growth</t>
        </is>
      </c>
      <c r="B8" s="10" t="n"/>
      <c r="C8" s="11" t="n">
        <v>4154827.88</v>
      </c>
      <c r="D8" s="11" t="n">
        <v>4183326.65</v>
      </c>
      <c r="E8" s="11" t="n">
        <v>4183326.6451</v>
      </c>
      <c r="F8" s="11" t="n">
        <v>4172463.43</v>
      </c>
      <c r="G8" s="11" t="n">
        <v>10863.22</v>
      </c>
      <c r="H8" s="11" t="n">
        <v>39732.73</v>
      </c>
      <c r="I8" s="11" t="n">
        <v>28498.77</v>
      </c>
      <c r="J8" s="12" t="n">
        <v>0.009589</v>
      </c>
      <c r="K8" s="12" t="n">
        <v>0.006859</v>
      </c>
      <c r="L8" s="12" t="n"/>
      <c r="M8" s="13" t="inlineStr"/>
    </row>
    <row r="9">
      <c r="A9" s="14" t="inlineStr">
        <is>
          <t>Total MF Debt / Liquid</t>
        </is>
      </c>
      <c r="C9" s="15">
        <f>SUM(C5:C8)</f>
        <v/>
      </c>
      <c r="D9" s="15">
        <f>SUM(D5:D8)</f>
        <v/>
      </c>
      <c r="E9" s="15">
        <f>SUM(E5:E8)</f>
        <v/>
      </c>
      <c r="F9" s="15">
        <f>SUM(F5:F8)</f>
        <v/>
      </c>
      <c r="G9" s="15">
        <f>SUM(G5:G8)</f>
        <v/>
      </c>
      <c r="H9" s="15">
        <f>SUM(H5:H8)</f>
        <v/>
      </c>
      <c r="I9" s="15">
        <f>SUM(I5:I8)</f>
        <v/>
      </c>
      <c r="J9" s="16" t="n"/>
      <c r="K9" s="16" t="n"/>
      <c r="L9" s="16" t="n"/>
      <c r="M9" s="16" t="n"/>
    </row>
    <row r="10">
      <c r="A10" s="14" t="inlineStr">
        <is>
          <t>A. TOTAL FIXED INCOME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2" ht="16" customHeight="1">
      <c r="A12" s="3" t="inlineStr">
        <is>
          <t>EQUITY</t>
        </is>
      </c>
    </row>
    <row r="13" ht="16" customHeight="1">
      <c r="A13" s="3" t="inlineStr">
        <is>
          <t>MF — Equity Funds</t>
        </is>
      </c>
    </row>
    <row r="14">
      <c r="A14" s="4" t="inlineStr">
        <is>
          <t>ICICI Prudential Business Cycle Fund Growth</t>
        </is>
      </c>
      <c r="B14" s="5" t="n">
        <v>44214</v>
      </c>
      <c r="C14" s="6" t="n">
        <v>5000173.19</v>
      </c>
      <c r="D14" s="6" t="n">
        <v>10402373.73</v>
      </c>
      <c r="E14" s="6" t="n">
        <v>10402373.7252</v>
      </c>
      <c r="F14" s="6" t="n">
        <v>10580973.94</v>
      </c>
      <c r="G14" s="6" t="n">
        <v>-178600.21</v>
      </c>
      <c r="H14" s="6" t="n">
        <v>522732.35</v>
      </c>
      <c r="I14" s="6" t="n">
        <v>5402200.54</v>
      </c>
      <c r="J14" s="7" t="n">
        <v>0.05291000000000001</v>
      </c>
      <c r="K14" s="7" t="n">
        <v>1.080403</v>
      </c>
      <c r="L14" s="7" t="n">
        <v>0.145715</v>
      </c>
      <c r="M14" s="8" t="inlineStr"/>
    </row>
    <row r="15">
      <c r="A15" s="9" t="inlineStr">
        <is>
          <t>ICICI Prudential Dynamic Asset Allocation Active FOF-Growth (formerly ICICI Prudential Advisor Series</t>
        </is>
      </c>
      <c r="B15" s="10" t="n">
        <v>44081</v>
      </c>
      <c r="C15" s="11" t="n">
        <v>21778735.29</v>
      </c>
      <c r="D15" s="11" t="n">
        <v>36111619.69</v>
      </c>
      <c r="E15" s="11" t="n">
        <v>36111619.6905</v>
      </c>
      <c r="F15" s="11" t="n">
        <v>36265499.13</v>
      </c>
      <c r="G15" s="11" t="n">
        <v>-153879.44</v>
      </c>
      <c r="H15" s="11" t="n">
        <v>1769255.47</v>
      </c>
      <c r="I15" s="11" t="n">
        <v>14332884.4</v>
      </c>
      <c r="J15" s="12" t="n">
        <v>0.05151799999999999</v>
      </c>
      <c r="K15" s="12" t="n">
        <v>0.6581140000000001</v>
      </c>
      <c r="L15" s="12" t="n">
        <v>0.091936</v>
      </c>
      <c r="M15" s="13" t="inlineStr"/>
    </row>
    <row r="16">
      <c r="A16" s="4" t="inlineStr">
        <is>
          <t>Parag Parikh Flexi Cap Fund - Regular Plan Growth</t>
        </is>
      </c>
      <c r="B16" s="5" t="n">
        <v>42468</v>
      </c>
      <c r="C16" s="6" t="n">
        <v>4000876.28</v>
      </c>
      <c r="D16" s="6" t="n">
        <v>8564122.52</v>
      </c>
      <c r="E16" s="6" t="n">
        <v>8564122.522600001</v>
      </c>
      <c r="F16" s="6" t="n">
        <v>8652523.369999999</v>
      </c>
      <c r="G16" s="6" t="n">
        <v>-88400.85000000001</v>
      </c>
      <c r="H16" s="6" t="n">
        <v>260801.96</v>
      </c>
      <c r="I16" s="6" t="n">
        <v>4563246.24</v>
      </c>
      <c r="J16" s="7" t="n">
        <v>0.031409</v>
      </c>
      <c r="K16" s="7" t="n">
        <v>1.140562</v>
      </c>
      <c r="L16" s="7" t="n">
        <v>0.077741</v>
      </c>
      <c r="M16" s="8" t="inlineStr"/>
    </row>
    <row r="17">
      <c r="A17" s="14" t="inlineStr">
        <is>
          <t>Total MF — Equity Funds</t>
        </is>
      </c>
      <c r="C17" s="15">
        <f>SUM(C14:C16)</f>
        <v/>
      </c>
      <c r="D17" s="15">
        <f>SUM(D14:D16)</f>
        <v/>
      </c>
      <c r="E17" s="15">
        <f>SUM(E14:E16)</f>
        <v/>
      </c>
      <c r="F17" s="15">
        <f>SUM(F14:F16)</f>
        <v/>
      </c>
      <c r="G17" s="15">
        <f>SUM(G14:G16)</f>
        <v/>
      </c>
      <c r="H17" s="15">
        <f>SUM(H14:H16)</f>
        <v/>
      </c>
      <c r="I17" s="15">
        <f>SUM(I14:I16)</f>
        <v/>
      </c>
      <c r="J17" s="16" t="n"/>
      <c r="K17" s="16" t="n"/>
      <c r="L17" s="16" t="n"/>
      <c r="M17" s="16" t="n"/>
    </row>
    <row r="18" ht="16" customHeight="1">
      <c r="A18" s="3" t="inlineStr">
        <is>
          <t>MF — Hybrid Funds</t>
        </is>
      </c>
    </row>
    <row r="19">
      <c r="A19" s="4" t="inlineStr">
        <is>
          <t>ICICI Prudential Equity Savings Fund Cumulative</t>
        </is>
      </c>
      <c r="B19" s="5" t="n"/>
      <c r="C19" s="6" t="n">
        <v>10000000</v>
      </c>
      <c r="D19" s="6" t="n">
        <v>11376855.32</v>
      </c>
      <c r="E19" s="6" t="n">
        <v>11376855.3184</v>
      </c>
      <c r="F19" s="6" t="n">
        <v>11361938.11</v>
      </c>
      <c r="G19" s="6" t="n">
        <v>14917.21</v>
      </c>
      <c r="H19" s="6" t="n">
        <v>114365.24</v>
      </c>
      <c r="I19" s="6" t="n">
        <v>1376855.32</v>
      </c>
      <c r="J19" s="7" t="n">
        <v>0.010155</v>
      </c>
      <c r="K19" s="7" t="n">
        <v>0.137686</v>
      </c>
      <c r="L19" s="7" t="n"/>
      <c r="M19" s="8" t="inlineStr"/>
    </row>
    <row r="20">
      <c r="A20" s="14" t="inlineStr">
        <is>
          <t>Total MF — Hybrid Funds</t>
        </is>
      </c>
      <c r="C20" s="15">
        <f>SUM(C19:C19)</f>
        <v/>
      </c>
      <c r="D20" s="15">
        <f>SUM(D19:D19)</f>
        <v/>
      </c>
      <c r="E20" s="15">
        <f>SUM(E19:E19)</f>
        <v/>
      </c>
      <c r="F20" s="15">
        <f>SUM(F19:F19)</f>
        <v/>
      </c>
      <c r="G20" s="15">
        <f>SUM(G19:G19)</f>
        <v/>
      </c>
      <c r="H20" s="15">
        <f>SUM(H19:H19)</f>
        <v/>
      </c>
      <c r="I20" s="15">
        <f>SUM(I19:I19)</f>
        <v/>
      </c>
      <c r="J20" s="16" t="n"/>
      <c r="K20" s="16" t="n"/>
      <c r="L20" s="16" t="n"/>
      <c r="M20" s="16" t="n"/>
    </row>
    <row r="21" ht="16" customHeight="1">
      <c r="A21" s="3" t="inlineStr">
        <is>
          <t>Direct Equities</t>
        </is>
      </c>
    </row>
    <row r="22">
      <c r="A22" s="4" t="inlineStr">
        <is>
          <t>ADANIPORTS  [zerodha]</t>
        </is>
      </c>
      <c r="B22" s="5" t="n">
        <v>46176</v>
      </c>
      <c r="C22" s="6" t="n">
        <v>853351</v>
      </c>
      <c r="D22" s="6" t="n">
        <v>1083182.4</v>
      </c>
      <c r="E22" s="6" t="n">
        <v>1063232</v>
      </c>
      <c r="F22" s="6" t="n">
        <v>1067849.6</v>
      </c>
      <c r="G22" s="6" t="n">
        <v>-4617.6</v>
      </c>
      <c r="H22" s="6" t="n"/>
      <c r="I22" s="6" t="n">
        <v>209881</v>
      </c>
      <c r="J22" s="7" t="n"/>
      <c r="K22" s="7" t="n">
        <v>0.2459</v>
      </c>
      <c r="L22" s="7" t="n"/>
      <c r="M22" s="8" t="inlineStr"/>
    </row>
    <row r="23">
      <c r="A23" s="9" t="inlineStr">
        <is>
          <t>ALPEXSOLAR-SM  [angel_one]</t>
        </is>
      </c>
      <c r="B23" s="10" t="n">
        <v>46177</v>
      </c>
      <c r="C23" s="11" t="n">
        <v>96872</v>
      </c>
      <c r="D23" s="11" t="n">
        <v>99200</v>
      </c>
      <c r="E23" s="11" t="n">
        <v>99200</v>
      </c>
      <c r="F23" s="11" t="n">
        <v>100810</v>
      </c>
      <c r="G23" s="11" t="n">
        <v>-1610</v>
      </c>
      <c r="H23" s="11" t="n"/>
      <c r="I23" s="11" t="n">
        <v>2328</v>
      </c>
      <c r="J23" s="12" t="n"/>
      <c r="K23" s="12" t="n">
        <v>0.024032</v>
      </c>
      <c r="L23" s="12" t="n"/>
      <c r="M23" s="13" t="inlineStr"/>
    </row>
    <row r="24">
      <c r="A24" s="4" t="inlineStr">
        <is>
          <t>AWFIS  [zerodha]</t>
        </is>
      </c>
      <c r="B24" s="5" t="n">
        <v>46176</v>
      </c>
      <c r="C24" s="6" t="n">
        <v>379098</v>
      </c>
      <c r="D24" s="6" t="n">
        <v>428884.85</v>
      </c>
      <c r="E24" s="6" t="n">
        <v>420251.5</v>
      </c>
      <c r="F24" s="6" t="n">
        <v>444581.85</v>
      </c>
      <c r="G24" s="6" t="n">
        <v>-24330.35</v>
      </c>
      <c r="H24" s="6" t="n"/>
      <c r="I24" s="6" t="n">
        <v>41153.5</v>
      </c>
      <c r="J24" s="7" t="n"/>
      <c r="K24" s="7" t="n">
        <v>0.1086</v>
      </c>
      <c r="L24" s="7" t="n"/>
      <c r="M24" s="8" t="inlineStr"/>
    </row>
    <row r="25">
      <c r="A25" s="9" t="inlineStr">
        <is>
          <t>AXISBANK  [zerodha]</t>
        </is>
      </c>
      <c r="B25" s="10" t="n">
        <v>46176</v>
      </c>
      <c r="C25" s="11" t="n">
        <v>488270.3</v>
      </c>
      <c r="D25" s="11" t="n">
        <v>513825</v>
      </c>
      <c r="E25" s="11" t="n">
        <v>509573.35</v>
      </c>
      <c r="F25" s="11" t="n">
        <v>505845.6</v>
      </c>
      <c r="G25" s="11" t="n">
        <v>3727.75</v>
      </c>
      <c r="H25" s="11" t="n"/>
      <c r="I25" s="11" t="n">
        <v>21303.05</v>
      </c>
      <c r="J25" s="12" t="n"/>
      <c r="K25" s="12" t="n">
        <v>0.0436</v>
      </c>
      <c r="L25" s="12" t="n"/>
      <c r="M25" s="13" t="inlineStr"/>
    </row>
    <row r="26">
      <c r="A26" s="4" t="inlineStr">
        <is>
          <t>BANKBEES  [zerodha]</t>
        </is>
      </c>
      <c r="B26" s="5" t="n">
        <v>46176</v>
      </c>
      <c r="C26" s="6" t="n">
        <v>912676.71</v>
      </c>
      <c r="D26" s="6" t="n">
        <v>942761</v>
      </c>
      <c r="E26" s="6" t="n">
        <v>938741.02</v>
      </c>
      <c r="F26" s="6" t="n">
        <v>941364.9399999999</v>
      </c>
      <c r="G26" s="6" t="n">
        <v>-2623.92</v>
      </c>
      <c r="H26" s="6" t="n"/>
      <c r="I26" s="6" t="n">
        <v>26064.31</v>
      </c>
      <c r="J26" s="7" t="n"/>
      <c r="K26" s="7" t="n">
        <v>0.0286</v>
      </c>
      <c r="L26" s="7" t="n"/>
      <c r="M26" s="8" t="inlineStr"/>
    </row>
    <row r="27">
      <c r="A27" s="9" t="inlineStr">
        <is>
          <t>BEACON-ST  [Angel One, Zerodha]</t>
        </is>
      </c>
      <c r="B27" s="10" t="n">
        <v>46176</v>
      </c>
      <c r="C27" s="11" t="n">
        <v>1192000</v>
      </c>
      <c r="D27" s="11" t="n">
        <v>1146600</v>
      </c>
      <c r="E27" s="11" t="n">
        <v>1146600</v>
      </c>
      <c r="F27" s="11" t="n">
        <v>1098000</v>
      </c>
      <c r="G27" s="11" t="n">
        <v>48600</v>
      </c>
      <c r="H27" s="11" t="n"/>
      <c r="I27" s="11" t="n">
        <v>-45400</v>
      </c>
      <c r="J27" s="12" t="n"/>
      <c r="K27" s="12" t="n">
        <v>-0.03808724832214765</v>
      </c>
      <c r="L27" s="12" t="n"/>
      <c r="M27" s="13" t="inlineStr"/>
    </row>
    <row r="28">
      <c r="A28" s="4" t="inlineStr">
        <is>
          <t>BLS  [zerodha]</t>
        </is>
      </c>
      <c r="B28" s="5" t="n">
        <v>46176</v>
      </c>
      <c r="C28" s="6" t="n">
        <v>99797.36</v>
      </c>
      <c r="D28" s="6" t="n">
        <v>97180.5</v>
      </c>
      <c r="E28" s="6" t="n">
        <v>96681</v>
      </c>
      <c r="F28" s="6" t="n">
        <v>100048</v>
      </c>
      <c r="G28" s="6" t="n">
        <v>-3367</v>
      </c>
      <c r="H28" s="6" t="n"/>
      <c r="I28" s="6" t="n">
        <v>-3116.36</v>
      </c>
      <c r="J28" s="7" t="n"/>
      <c r="K28" s="7" t="n">
        <v>-0.0312</v>
      </c>
      <c r="L28" s="7" t="n"/>
      <c r="M28" s="8" t="inlineStr"/>
    </row>
    <row r="29">
      <c r="A29" s="9" t="inlineStr">
        <is>
          <t>BSE  [zerodha]</t>
        </is>
      </c>
      <c r="B29" s="10" t="n">
        <v>46176</v>
      </c>
      <c r="C29" s="11" t="n">
        <v>512401.4</v>
      </c>
      <c r="D29" s="11" t="n">
        <v>1375780</v>
      </c>
      <c r="E29" s="11" t="n">
        <v>1366890</v>
      </c>
      <c r="F29" s="11" t="n">
        <v>1388135</v>
      </c>
      <c r="G29" s="11" t="n">
        <v>-21245</v>
      </c>
      <c r="H29" s="11" t="n"/>
      <c r="I29" s="11" t="n">
        <v>854488.6</v>
      </c>
      <c r="J29" s="12" t="n"/>
      <c r="K29" s="12" t="n">
        <v>1.6676</v>
      </c>
      <c r="L29" s="12" t="n"/>
      <c r="M29" s="13" t="inlineStr"/>
    </row>
    <row r="30">
      <c r="A30" s="4" t="inlineStr">
        <is>
          <t>CANBK  [zerodha]</t>
        </is>
      </c>
      <c r="B30" s="5" t="n">
        <v>46176</v>
      </c>
      <c r="C30" s="6" t="n">
        <v>539926.02</v>
      </c>
      <c r="D30" s="6" t="n">
        <v>563623.95</v>
      </c>
      <c r="E30" s="6" t="n">
        <v>556639.5</v>
      </c>
      <c r="F30" s="6" t="n">
        <v>558121.05</v>
      </c>
      <c r="G30" s="6" t="n">
        <v>-1481.55</v>
      </c>
      <c r="H30" s="6" t="n"/>
      <c r="I30" s="6" t="n">
        <v>16713.48</v>
      </c>
      <c r="J30" s="7" t="n"/>
      <c r="K30" s="7" t="n">
        <v>0.031</v>
      </c>
      <c r="L30" s="7" t="n"/>
      <c r="M30" s="8" t="inlineStr"/>
    </row>
    <row r="31">
      <c r="A31" s="9" t="inlineStr">
        <is>
          <t>CDSL  [zerodha]</t>
        </is>
      </c>
      <c r="B31" s="10" t="n">
        <v>46176</v>
      </c>
      <c r="C31" s="11" t="n">
        <v>813743.6</v>
      </c>
      <c r="D31" s="11" t="n">
        <v>777225</v>
      </c>
      <c r="E31" s="11" t="n">
        <v>766582.5</v>
      </c>
      <c r="F31" s="11" t="n">
        <v>785739</v>
      </c>
      <c r="G31" s="11" t="n">
        <v>-19156.5</v>
      </c>
      <c r="H31" s="11" t="n"/>
      <c r="I31" s="11" t="n">
        <v>-47161.1</v>
      </c>
      <c r="J31" s="12" t="n"/>
      <c r="K31" s="12" t="n">
        <v>-0.058</v>
      </c>
      <c r="L31" s="12" t="n"/>
      <c r="M31" s="13" t="inlineStr"/>
    </row>
    <row r="32">
      <c r="A32" s="4" t="inlineStr">
        <is>
          <t>CMSINFO  [zerodha]</t>
        </is>
      </c>
      <c r="B32" s="5" t="n">
        <v>46176</v>
      </c>
      <c r="C32" s="6" t="n">
        <v>239022.7</v>
      </c>
      <c r="D32" s="6" t="n">
        <v>212065</v>
      </c>
      <c r="E32" s="6" t="n">
        <v>207900</v>
      </c>
      <c r="F32" s="6" t="n">
        <v>213255</v>
      </c>
      <c r="G32" s="6" t="n">
        <v>-5355</v>
      </c>
      <c r="H32" s="6" t="n"/>
      <c r="I32" s="6" t="n">
        <v>-31122.7</v>
      </c>
      <c r="J32" s="7" t="n"/>
      <c r="K32" s="7" t="n">
        <v>-0.1302</v>
      </c>
      <c r="L32" s="7" t="n"/>
      <c r="M32" s="8" t="inlineStr"/>
    </row>
    <row r="33">
      <c r="A33" s="9" t="inlineStr">
        <is>
          <t>CRIZAC-EQ  [angel_one]</t>
        </is>
      </c>
      <c r="B33" s="10" t="n">
        <v>46177</v>
      </c>
      <c r="C33" s="11" t="n">
        <v>50770</v>
      </c>
      <c r="D33" s="11" t="n">
        <v>53557.5</v>
      </c>
      <c r="E33" s="11" t="n">
        <v>53557.5</v>
      </c>
      <c r="F33" s="11" t="n">
        <v>53465</v>
      </c>
      <c r="G33" s="11" t="n">
        <v>92.5</v>
      </c>
      <c r="H33" s="11" t="n"/>
      <c r="I33" s="11" t="n">
        <v>2787.5</v>
      </c>
      <c r="J33" s="12" t="n"/>
      <c r="K33" s="12" t="n">
        <v>0.054904</v>
      </c>
      <c r="L33" s="12" t="n"/>
      <c r="M33" s="13" t="inlineStr"/>
    </row>
    <row r="34">
      <c r="A34" s="4" t="inlineStr">
        <is>
          <t>FRESHARA-SM  [zerodha]</t>
        </is>
      </c>
      <c r="B34" s="5" t="n">
        <v>46176</v>
      </c>
      <c r="C34" s="6" t="n">
        <v>123000</v>
      </c>
      <c r="D34" s="6" t="n">
        <v>131820</v>
      </c>
      <c r="E34" s="6" t="n">
        <v>131790</v>
      </c>
      <c r="F34" s="6" t="n">
        <v>125760</v>
      </c>
      <c r="G34" s="6" t="n">
        <v>6030</v>
      </c>
      <c r="H34" s="6" t="n"/>
      <c r="I34" s="6" t="n">
        <v>8790</v>
      </c>
      <c r="J34" s="7" t="n"/>
      <c r="K34" s="7" t="n">
        <v>0.07150000000000001</v>
      </c>
      <c r="L34" s="7" t="n"/>
      <c r="M34" s="8" t="inlineStr"/>
    </row>
    <row r="35">
      <c r="A35" s="9" t="inlineStr">
        <is>
          <t>GOLDBEES  [zerodha]</t>
        </is>
      </c>
      <c r="B35" s="10" t="n">
        <v>46176</v>
      </c>
      <c r="C35" s="11" t="n">
        <v>7574425.51</v>
      </c>
      <c r="D35" s="11" t="n">
        <v>16386948</v>
      </c>
      <c r="E35" s="11" t="n">
        <v>16398822.6</v>
      </c>
      <c r="F35" s="11" t="n">
        <v>16840821.6</v>
      </c>
      <c r="G35" s="11" t="n">
        <v>-441999</v>
      </c>
      <c r="H35" s="11" t="n"/>
      <c r="I35" s="11" t="n">
        <v>8824397.09</v>
      </c>
      <c r="J35" s="12" t="n"/>
      <c r="K35" s="12" t="n">
        <v>1.165</v>
      </c>
      <c r="L35" s="12" t="n"/>
      <c r="M35" s="13" t="inlineStr"/>
    </row>
    <row r="36">
      <c r="A36" s="4" t="inlineStr">
        <is>
          <t>HCC  [zerodha]</t>
        </is>
      </c>
      <c r="B36" s="5" t="n">
        <v>46176</v>
      </c>
      <c r="C36" s="6" t="n">
        <v>99991.60000000001</v>
      </c>
      <c r="D36" s="6" t="n">
        <v>103492.4</v>
      </c>
      <c r="E36" s="6" t="n">
        <v>99510.24000000001</v>
      </c>
      <c r="F36" s="6" t="n">
        <v>102879.76</v>
      </c>
      <c r="G36" s="6" t="n">
        <v>-3369.52</v>
      </c>
      <c r="H36" s="6" t="n"/>
      <c r="I36" s="6" t="n">
        <v>-481.36</v>
      </c>
      <c r="J36" s="7" t="n"/>
      <c r="K36" s="7" t="n">
        <v>-0.0048</v>
      </c>
      <c r="L36" s="7" t="n"/>
      <c r="M36" s="8" t="inlineStr"/>
    </row>
    <row r="37">
      <c r="A37" s="9" t="inlineStr">
        <is>
          <t>HCLTECH  [zerodha]</t>
        </is>
      </c>
      <c r="B37" s="10" t="n">
        <v>46176</v>
      </c>
      <c r="C37" s="11" t="n">
        <v>259944.5</v>
      </c>
      <c r="D37" s="11" t="n">
        <v>188053.1</v>
      </c>
      <c r="E37" s="11" t="n">
        <v>187613</v>
      </c>
      <c r="F37" s="11" t="n">
        <v>192095.5</v>
      </c>
      <c r="G37" s="11" t="n">
        <v>-4482.5</v>
      </c>
      <c r="H37" s="11" t="n"/>
      <c r="I37" s="11" t="n">
        <v>-72331.5</v>
      </c>
      <c r="J37" s="12" t="n"/>
      <c r="K37" s="12" t="n">
        <v>-0.2783</v>
      </c>
      <c r="L37" s="12" t="n"/>
      <c r="M37" s="13" t="inlineStr"/>
    </row>
    <row r="38">
      <c r="A38" s="4" t="inlineStr">
        <is>
          <t>HDFCAMC  [zerodha]</t>
        </is>
      </c>
      <c r="B38" s="5" t="n">
        <v>46176</v>
      </c>
      <c r="C38" s="6" t="n">
        <v>492715.85</v>
      </c>
      <c r="D38" s="6" t="n">
        <v>1229500</v>
      </c>
      <c r="E38" s="6" t="n">
        <v>1222950</v>
      </c>
      <c r="F38" s="6" t="n">
        <v>1255000</v>
      </c>
      <c r="G38" s="6" t="n">
        <v>-32050</v>
      </c>
      <c r="H38" s="6" t="n"/>
      <c r="I38" s="6" t="n">
        <v>730234.15</v>
      </c>
      <c r="J38" s="7" t="n"/>
      <c r="K38" s="7" t="n">
        <v>1.4821</v>
      </c>
      <c r="L38" s="7" t="n"/>
      <c r="M38" s="8" t="inlineStr"/>
    </row>
    <row r="39">
      <c r="A39" s="9" t="inlineStr">
        <is>
          <t>HDFCBANK  [zerodha]</t>
        </is>
      </c>
      <c r="B39" s="10" t="n">
        <v>46176</v>
      </c>
      <c r="C39" s="11" t="n">
        <v>2435040.16</v>
      </c>
      <c r="D39" s="11" t="n">
        <v>2249324</v>
      </c>
      <c r="E39" s="11" t="n">
        <v>2254817.6</v>
      </c>
      <c r="F39" s="11" t="n">
        <v>2300139.8</v>
      </c>
      <c r="G39" s="11" t="n">
        <v>-45322.2</v>
      </c>
      <c r="H39" s="11" t="n"/>
      <c r="I39" s="11" t="n">
        <v>-180222.56</v>
      </c>
      <c r="J39" s="12" t="n"/>
      <c r="K39" s="12" t="n">
        <v>-0.07400000000000001</v>
      </c>
      <c r="L39" s="12" t="n"/>
      <c r="M39" s="13" t="inlineStr"/>
    </row>
    <row r="40">
      <c r="A40" s="4" t="inlineStr">
        <is>
          <t>HEROMOTOCO  [zerodha]</t>
        </is>
      </c>
      <c r="B40" s="5" t="n">
        <v>46176</v>
      </c>
      <c r="C40" s="6" t="n">
        <v>458047.15</v>
      </c>
      <c r="D40" s="6" t="n">
        <v>413647.1</v>
      </c>
      <c r="E40" s="6" t="n">
        <v>410478</v>
      </c>
      <c r="F40" s="6" t="n">
        <v>416317.4</v>
      </c>
      <c r="G40" s="6" t="n">
        <v>-5839.4</v>
      </c>
      <c r="H40" s="6" t="n"/>
      <c r="I40" s="6" t="n">
        <v>-47569.15</v>
      </c>
      <c r="J40" s="7" t="n"/>
      <c r="K40" s="7" t="n">
        <v>-0.1039</v>
      </c>
      <c r="L40" s="7" t="n"/>
      <c r="M40" s="8" t="inlineStr"/>
    </row>
    <row r="41">
      <c r="A41" s="9" t="inlineStr">
        <is>
          <t>IDEA  [zerodha]</t>
        </is>
      </c>
      <c r="B41" s="10" t="n">
        <v>46176</v>
      </c>
      <c r="C41" s="11" t="n">
        <v>731026.87</v>
      </c>
      <c r="D41" s="11" t="n">
        <v>1135037.3</v>
      </c>
      <c r="E41" s="11" t="n">
        <v>1091616.41</v>
      </c>
      <c r="F41" s="11" t="n">
        <v>1131228.45</v>
      </c>
      <c r="G41" s="11" t="n">
        <v>-39612.04</v>
      </c>
      <c r="H41" s="11" t="n"/>
      <c r="I41" s="11" t="n">
        <v>360589.54</v>
      </c>
      <c r="J41" s="12" t="n"/>
      <c r="K41" s="12" t="n">
        <v>0.4933</v>
      </c>
      <c r="L41" s="12" t="n"/>
      <c r="M41" s="13" t="inlineStr"/>
    </row>
    <row r="42">
      <c r="A42" s="4" t="inlineStr">
        <is>
          <t>IIFL  [zerodha]</t>
        </is>
      </c>
      <c r="B42" s="5" t="n">
        <v>46176</v>
      </c>
      <c r="C42" s="6" t="n">
        <v>522065.9</v>
      </c>
      <c r="D42" s="6" t="n">
        <v>560981.25</v>
      </c>
      <c r="E42" s="6" t="n">
        <v>552600</v>
      </c>
      <c r="F42" s="6" t="n">
        <v>561150</v>
      </c>
      <c r="G42" s="6" t="n">
        <v>-8550</v>
      </c>
      <c r="H42" s="6" t="n"/>
      <c r="I42" s="6" t="n">
        <v>30534.1</v>
      </c>
      <c r="J42" s="7" t="n"/>
      <c r="K42" s="7" t="n">
        <v>0.0585</v>
      </c>
      <c r="L42" s="7" t="n"/>
      <c r="M42" s="8" t="inlineStr"/>
    </row>
    <row r="43">
      <c r="A43" s="9" t="inlineStr">
        <is>
          <t>INDGN  [zerodha]</t>
        </is>
      </c>
      <c r="B43" s="10" t="n">
        <v>46176</v>
      </c>
      <c r="C43" s="11" t="n">
        <v>99745.39999999999</v>
      </c>
      <c r="D43" s="11" t="n">
        <v>110434.7</v>
      </c>
      <c r="E43" s="11" t="n">
        <v>109471.7</v>
      </c>
      <c r="F43" s="11" t="n">
        <v>109931.8</v>
      </c>
      <c r="G43" s="11" t="n">
        <v>-460.1</v>
      </c>
      <c r="H43" s="11" t="n"/>
      <c r="I43" s="11" t="n">
        <v>9726.299999999999</v>
      </c>
      <c r="J43" s="12" t="n"/>
      <c r="K43" s="12" t="n">
        <v>0.0975</v>
      </c>
      <c r="L43" s="12" t="n"/>
      <c r="M43" s="13" t="inlineStr"/>
    </row>
    <row r="44">
      <c r="A44" s="4" t="inlineStr">
        <is>
          <t>J&amp;KBANK  [zerodha]</t>
        </is>
      </c>
      <c r="B44" s="5" t="n">
        <v>46176</v>
      </c>
      <c r="C44" s="6" t="n">
        <v>388724.68</v>
      </c>
      <c r="D44" s="6" t="n">
        <v>492443.25</v>
      </c>
      <c r="E44" s="6" t="n">
        <v>489459.75</v>
      </c>
      <c r="F44" s="6" t="n">
        <v>492774.75</v>
      </c>
      <c r="G44" s="6" t="n">
        <v>-3315</v>
      </c>
      <c r="H44" s="6" t="n"/>
      <c r="I44" s="6" t="n">
        <v>100735.07</v>
      </c>
      <c r="J44" s="7" t="n"/>
      <c r="K44" s="7" t="n">
        <v>0.2591</v>
      </c>
      <c r="L44" s="7" t="n"/>
      <c r="M44" s="8" t="inlineStr"/>
    </row>
    <row r="45">
      <c r="A45" s="9" t="inlineStr">
        <is>
          <t>JIOFIN  [zerodha]</t>
        </is>
      </c>
      <c r="B45" s="10" t="n">
        <v>46176</v>
      </c>
      <c r="C45" s="11" t="n">
        <v>2773965.34</v>
      </c>
      <c r="D45" s="11" t="n">
        <v>2581464</v>
      </c>
      <c r="E45" s="11" t="n">
        <v>2538625.05</v>
      </c>
      <c r="F45" s="11" t="n">
        <v>2615957.7</v>
      </c>
      <c r="G45" s="11" t="n">
        <v>-77332.64999999999</v>
      </c>
      <c r="H45" s="11" t="n"/>
      <c r="I45" s="11" t="n">
        <v>-235340.29</v>
      </c>
      <c r="J45" s="12" t="n"/>
      <c r="K45" s="12" t="n">
        <v>-0.0848</v>
      </c>
      <c r="L45" s="12" t="n"/>
      <c r="M45" s="13" t="inlineStr"/>
    </row>
    <row r="46">
      <c r="A46" s="4" t="inlineStr">
        <is>
          <t>JSWENERGY  [zerodha]</t>
        </is>
      </c>
      <c r="B46" s="5" t="n">
        <v>46176</v>
      </c>
      <c r="C46" s="6" t="n">
        <v>119594.5</v>
      </c>
      <c r="D46" s="6" t="n">
        <v>123635.85</v>
      </c>
      <c r="E46" s="6" t="n">
        <v>120984</v>
      </c>
      <c r="F46" s="6" t="n">
        <v>123593.25</v>
      </c>
      <c r="G46" s="6" t="n">
        <v>-2609.25</v>
      </c>
      <c r="H46" s="6" t="n"/>
      <c r="I46" s="6" t="n">
        <v>1389.5</v>
      </c>
      <c r="J46" s="7" t="n"/>
      <c r="K46" s="7" t="n">
        <v>0.0116</v>
      </c>
      <c r="L46" s="7" t="n"/>
      <c r="M46" s="8" t="inlineStr"/>
    </row>
    <row r="47">
      <c r="A47" s="9" t="inlineStr">
        <is>
          <t>KICL  [zerodha]</t>
        </is>
      </c>
      <c r="B47" s="10" t="n">
        <v>46176</v>
      </c>
      <c r="C47" s="11" t="n">
        <v>1417613</v>
      </c>
      <c r="D47" s="11" t="n">
        <v>1394400</v>
      </c>
      <c r="E47" s="11" t="n">
        <v>1362200</v>
      </c>
      <c r="F47" s="11" t="n">
        <v>1392440</v>
      </c>
      <c r="G47" s="11" t="n">
        <v>-30240</v>
      </c>
      <c r="H47" s="11" t="n"/>
      <c r="I47" s="11" t="n">
        <v>-55413</v>
      </c>
      <c r="J47" s="12" t="n"/>
      <c r="K47" s="12" t="n">
        <v>-0.0391</v>
      </c>
      <c r="L47" s="12" t="n"/>
      <c r="M47" s="13" t="inlineStr"/>
    </row>
    <row r="48">
      <c r="A48" s="4" t="inlineStr">
        <is>
          <t>M&amp;M  [zerodha]</t>
        </is>
      </c>
      <c r="B48" s="5" t="n">
        <v>46176</v>
      </c>
      <c r="C48" s="6" t="n">
        <v>659091.6</v>
      </c>
      <c r="D48" s="6" t="n">
        <v>639432</v>
      </c>
      <c r="E48" s="6" t="n">
        <v>634895.2</v>
      </c>
      <c r="F48" s="6" t="n">
        <v>644343.3</v>
      </c>
      <c r="G48" s="6" t="n">
        <v>-9448.1</v>
      </c>
      <c r="H48" s="6" t="n"/>
      <c r="I48" s="6" t="n">
        <v>-24196.4</v>
      </c>
      <c r="J48" s="7" t="n"/>
      <c r="K48" s="7" t="n">
        <v>-0.0367</v>
      </c>
      <c r="L48" s="7" t="n"/>
      <c r="M48" s="8" t="inlineStr"/>
    </row>
    <row r="49">
      <c r="A49" s="9" t="inlineStr">
        <is>
          <t>MEDIASSIST  [zerodha]</t>
        </is>
      </c>
      <c r="B49" s="10" t="n">
        <v>46176</v>
      </c>
      <c r="C49" s="11" t="n">
        <v>297354.85</v>
      </c>
      <c r="D49" s="11" t="n">
        <v>330487.2</v>
      </c>
      <c r="E49" s="11" t="n">
        <v>325081.6</v>
      </c>
      <c r="F49" s="11" t="n">
        <v>340226.6</v>
      </c>
      <c r="G49" s="11" t="n">
        <v>-15145</v>
      </c>
      <c r="H49" s="11" t="n"/>
      <c r="I49" s="11" t="n">
        <v>27726.75</v>
      </c>
      <c r="J49" s="12" t="n"/>
      <c r="K49" s="12" t="n">
        <v>0.09320000000000001</v>
      </c>
      <c r="L49" s="12" t="n"/>
      <c r="M49" s="13" t="inlineStr"/>
    </row>
    <row r="50">
      <c r="A50" s="4" t="inlineStr">
        <is>
          <t>MINDACORP  [zerodha]</t>
        </is>
      </c>
      <c r="B50" s="5" t="n">
        <v>46176</v>
      </c>
      <c r="C50" s="6" t="n">
        <v>265187.5</v>
      </c>
      <c r="D50" s="6" t="n">
        <v>288090</v>
      </c>
      <c r="E50" s="6" t="n">
        <v>283725</v>
      </c>
      <c r="F50" s="6" t="n">
        <v>281272.5</v>
      </c>
      <c r="G50" s="6" t="n">
        <v>2452.5</v>
      </c>
      <c r="H50" s="6" t="n"/>
      <c r="I50" s="6" t="n">
        <v>18537.5</v>
      </c>
      <c r="J50" s="7" t="n"/>
      <c r="K50" s="7" t="n">
        <v>0.0699</v>
      </c>
      <c r="L50" s="7" t="n"/>
      <c r="M50" s="8" t="inlineStr"/>
    </row>
    <row r="51">
      <c r="A51" s="9" t="inlineStr">
        <is>
          <t>MODEFENCE  [zerodha]</t>
        </is>
      </c>
      <c r="B51" s="10" t="n">
        <v>46176</v>
      </c>
      <c r="C51" s="11" t="n">
        <v>366955.99</v>
      </c>
      <c r="D51" s="11" t="n">
        <v>421047</v>
      </c>
      <c r="E51" s="11" t="n">
        <v>417517.01</v>
      </c>
      <c r="F51" s="11" t="n">
        <v>421599.89</v>
      </c>
      <c r="G51" s="11" t="n">
        <v>-4082.88</v>
      </c>
      <c r="H51" s="11" t="n"/>
      <c r="I51" s="11" t="n">
        <v>50561.02</v>
      </c>
      <c r="J51" s="12" t="n"/>
      <c r="K51" s="12" t="n">
        <v>0.1378</v>
      </c>
      <c r="L51" s="12" t="n"/>
      <c r="M51" s="13" t="inlineStr"/>
    </row>
    <row r="52">
      <c r="A52" s="4" t="inlineStr">
        <is>
          <t>MOTILALOFS  [zerodha]</t>
        </is>
      </c>
      <c r="B52" s="5" t="n">
        <v>46176</v>
      </c>
      <c r="C52" s="6" t="n">
        <v>681279.9</v>
      </c>
      <c r="D52" s="6" t="n">
        <v>852517.05</v>
      </c>
      <c r="E52" s="6" t="n">
        <v>835637.55</v>
      </c>
      <c r="F52" s="6" t="n">
        <v>869601.15</v>
      </c>
      <c r="G52" s="6" t="n">
        <v>-33963.6</v>
      </c>
      <c r="H52" s="6" t="n"/>
      <c r="I52" s="6" t="n">
        <v>154357.65</v>
      </c>
      <c r="J52" s="7" t="n"/>
      <c r="K52" s="7" t="n">
        <v>0.2266</v>
      </c>
      <c r="L52" s="7" t="n"/>
      <c r="M52" s="8" t="inlineStr"/>
    </row>
    <row r="53">
      <c r="A53" s="9" t="inlineStr">
        <is>
          <t>NAM-INDIA  [zerodha]</t>
        </is>
      </c>
      <c r="B53" s="10" t="n">
        <v>46176</v>
      </c>
      <c r="C53" s="11" t="n">
        <v>498902.3</v>
      </c>
      <c r="D53" s="11" t="n">
        <v>626574</v>
      </c>
      <c r="E53" s="11" t="n">
        <v>608420</v>
      </c>
      <c r="F53" s="11" t="n">
        <v>625124</v>
      </c>
      <c r="G53" s="11" t="n">
        <v>-16704</v>
      </c>
      <c r="H53" s="11" t="n"/>
      <c r="I53" s="11" t="n">
        <v>109517.7</v>
      </c>
      <c r="J53" s="12" t="n"/>
      <c r="K53" s="12" t="n">
        <v>0.2195</v>
      </c>
      <c r="L53" s="12" t="n"/>
      <c r="M53" s="13" t="inlineStr"/>
    </row>
    <row r="54">
      <c r="A54" s="4" t="inlineStr">
        <is>
          <t>NATCOPHARM  [zerodha]</t>
        </is>
      </c>
      <c r="B54" s="5" t="n">
        <v>46176</v>
      </c>
      <c r="C54" s="6" t="n">
        <v>183491.2</v>
      </c>
      <c r="D54" s="6" t="n">
        <v>149880.5</v>
      </c>
      <c r="E54" s="6" t="n">
        <v>147900</v>
      </c>
      <c r="F54" s="6" t="n">
        <v>158865</v>
      </c>
      <c r="G54" s="6" t="n">
        <v>-10965</v>
      </c>
      <c r="H54" s="6" t="n"/>
      <c r="I54" s="6" t="n">
        <v>-35591.2</v>
      </c>
      <c r="J54" s="7" t="n"/>
      <c r="K54" s="7" t="n">
        <v>-0.194</v>
      </c>
      <c r="L54" s="7" t="n"/>
      <c r="M54" s="8" t="inlineStr"/>
    </row>
    <row r="55">
      <c r="A55" s="9" t="inlineStr">
        <is>
          <t>NCC  [zerodha]</t>
        </is>
      </c>
      <c r="B55" s="10" t="n">
        <v>46176</v>
      </c>
      <c r="C55" s="11" t="n">
        <v>99999.7</v>
      </c>
      <c r="D55" s="11" t="n">
        <v>84597.10000000001</v>
      </c>
      <c r="E55" s="11" t="n">
        <v>85114.75</v>
      </c>
      <c r="F55" s="11" t="n">
        <v>87607.8</v>
      </c>
      <c r="G55" s="11" t="n">
        <v>-2493.05</v>
      </c>
      <c r="H55" s="11" t="n"/>
      <c r="I55" s="11" t="n">
        <v>-14884.95</v>
      </c>
      <c r="J55" s="12" t="n"/>
      <c r="K55" s="12" t="n">
        <v>-0.1488</v>
      </c>
      <c r="L55" s="12" t="n"/>
      <c r="M55" s="13" t="inlineStr"/>
    </row>
    <row r="56">
      <c r="A56" s="4" t="inlineStr">
        <is>
          <t>NCC-EQ  [angel_one]</t>
        </is>
      </c>
      <c r="B56" s="5" t="n">
        <v>46177</v>
      </c>
      <c r="C56" s="6" t="n">
        <v>36817.5</v>
      </c>
      <c r="D56" s="6" t="n">
        <v>35570</v>
      </c>
      <c r="E56" s="6" t="n">
        <v>35570</v>
      </c>
      <c r="F56" s="6" t="n">
        <v>36827.5</v>
      </c>
      <c r="G56" s="6" t="n">
        <v>-1257.5</v>
      </c>
      <c r="H56" s="6" t="n"/>
      <c r="I56" s="6" t="n">
        <v>-1247.5</v>
      </c>
      <c r="J56" s="7" t="n"/>
      <c r="K56" s="7" t="n">
        <v>-0.033883</v>
      </c>
      <c r="L56" s="7" t="n"/>
      <c r="M56" s="8" t="inlineStr"/>
    </row>
    <row r="57">
      <c r="A57" s="9" t="inlineStr">
        <is>
          <t>NEPHROCARE-ST  [angel_one]</t>
        </is>
      </c>
      <c r="B57" s="10" t="n">
        <v>46177</v>
      </c>
      <c r="C57" s="11" t="n">
        <v>31944</v>
      </c>
      <c r="D57" s="11" t="n">
        <v>28600</v>
      </c>
      <c r="E57" s="11" t="n">
        <v>28600</v>
      </c>
      <c r="F57" s="11" t="n">
        <v>28800</v>
      </c>
      <c r="G57" s="11" t="n">
        <v>-200</v>
      </c>
      <c r="H57" s="11" t="n"/>
      <c r="I57" s="11" t="n">
        <v>-3344</v>
      </c>
      <c r="J57" s="12" t="n"/>
      <c r="K57" s="12" t="n">
        <v>-0.104683</v>
      </c>
      <c r="L57" s="12" t="n"/>
      <c r="M57" s="13" t="inlineStr"/>
    </row>
    <row r="58">
      <c r="A58" s="4" t="inlineStr">
        <is>
          <t>NESTLEIND  [zerodha]</t>
        </is>
      </c>
      <c r="B58" s="5" t="n">
        <v>46176</v>
      </c>
      <c r="C58" s="6" t="n">
        <v>982087.6</v>
      </c>
      <c r="D58" s="6" t="n">
        <v>1406350</v>
      </c>
      <c r="E58" s="6" t="n">
        <v>1399000</v>
      </c>
      <c r="F58" s="6" t="n">
        <v>1391500</v>
      </c>
      <c r="G58" s="6" t="n">
        <v>7500</v>
      </c>
      <c r="H58" s="6" t="n"/>
      <c r="I58" s="6" t="n">
        <v>416912.4</v>
      </c>
      <c r="J58" s="7" t="n"/>
      <c r="K58" s="7" t="n">
        <v>0.4245</v>
      </c>
      <c r="L58" s="7" t="n"/>
      <c r="M58" s="8" t="inlineStr"/>
    </row>
    <row r="59">
      <c r="A59" s="9" t="inlineStr">
        <is>
          <t>ORIANA-SM  [angel_one]</t>
        </is>
      </c>
      <c r="B59" s="10" t="n">
        <v>46177</v>
      </c>
      <c r="C59" s="11" t="n">
        <v>140787</v>
      </c>
      <c r="D59" s="11" t="n">
        <v>125775</v>
      </c>
      <c r="E59" s="11" t="n">
        <v>125775</v>
      </c>
      <c r="F59" s="11" t="n">
        <v>126870</v>
      </c>
      <c r="G59" s="11" t="n">
        <v>-1095</v>
      </c>
      <c r="H59" s="11" t="n"/>
      <c r="I59" s="11" t="n">
        <v>-15012</v>
      </c>
      <c r="J59" s="12" t="n"/>
      <c r="K59" s="12" t="n">
        <v>-0.106629</v>
      </c>
      <c r="L59" s="12" t="n"/>
      <c r="M59" s="13" t="inlineStr"/>
    </row>
    <row r="60">
      <c r="A60" s="4" t="inlineStr">
        <is>
          <t>PREMIERENE  [zerodha]</t>
        </is>
      </c>
      <c r="B60" s="5" t="n">
        <v>46176</v>
      </c>
      <c r="C60" s="6" t="n">
        <v>105693.05</v>
      </c>
      <c r="D60" s="6" t="n">
        <v>158558.4</v>
      </c>
      <c r="E60" s="6" t="n">
        <v>155952</v>
      </c>
      <c r="F60" s="6" t="n">
        <v>156816</v>
      </c>
      <c r="G60" s="6" t="n">
        <v>-864</v>
      </c>
      <c r="H60" s="6" t="n"/>
      <c r="I60" s="6" t="n">
        <v>50258.95</v>
      </c>
      <c r="J60" s="7" t="n"/>
      <c r="K60" s="7" t="n">
        <v>0.4755</v>
      </c>
      <c r="L60" s="7" t="n"/>
      <c r="M60" s="8" t="inlineStr"/>
    </row>
    <row r="61">
      <c r="A61" s="9" t="inlineStr">
        <is>
          <t>RELIANCE  [zerodha]</t>
        </is>
      </c>
      <c r="B61" s="10" t="n">
        <v>46176</v>
      </c>
      <c r="C61" s="11" t="n">
        <v>1040557.63</v>
      </c>
      <c r="D61" s="11" t="n">
        <v>2020730</v>
      </c>
      <c r="E61" s="11" t="n">
        <v>2004691.2</v>
      </c>
      <c r="F61" s="11" t="n">
        <v>2085123.4</v>
      </c>
      <c r="G61" s="11" t="n">
        <v>-80432.2</v>
      </c>
      <c r="H61" s="11" t="n"/>
      <c r="I61" s="11" t="n">
        <v>964133.5699999999</v>
      </c>
      <c r="J61" s="12" t="n"/>
      <c r="K61" s="12" t="n">
        <v>0.9266</v>
      </c>
      <c r="L61" s="12" t="n"/>
      <c r="M61" s="13" t="inlineStr"/>
    </row>
    <row r="62">
      <c r="A62" s="4" t="inlineStr">
        <is>
          <t>SAMHI  [zerodha]</t>
        </is>
      </c>
      <c r="B62" s="5" t="n">
        <v>46176</v>
      </c>
      <c r="C62" s="6" t="n">
        <v>632939.4300000001</v>
      </c>
      <c r="D62" s="6" t="n">
        <v>717710.4</v>
      </c>
      <c r="E62" s="6" t="n">
        <v>724506.9</v>
      </c>
      <c r="F62" s="6" t="n">
        <v>762204.8199999999</v>
      </c>
      <c r="G62" s="6" t="n">
        <v>-37697.92</v>
      </c>
      <c r="H62" s="6" t="n"/>
      <c r="I62" s="6" t="n">
        <v>91567.47</v>
      </c>
      <c r="J62" s="7" t="n"/>
      <c r="K62" s="7" t="n">
        <v>0.1447</v>
      </c>
      <c r="L62" s="7" t="n"/>
      <c r="M62" s="8" t="inlineStr"/>
    </row>
    <row r="63">
      <c r="A63" s="9" t="inlineStr">
        <is>
          <t>SBICARD  [zerodha]</t>
        </is>
      </c>
      <c r="B63" s="10" t="n">
        <v>46176</v>
      </c>
      <c r="C63" s="11" t="n">
        <v>305768.45</v>
      </c>
      <c r="D63" s="11" t="n">
        <v>263351.55</v>
      </c>
      <c r="E63" s="11" t="n">
        <v>259478.4</v>
      </c>
      <c r="F63" s="11" t="n">
        <v>270237.15</v>
      </c>
      <c r="G63" s="11" t="n">
        <v>-10758.75</v>
      </c>
      <c r="H63" s="11" t="n"/>
      <c r="I63" s="11" t="n">
        <v>-46290.05</v>
      </c>
      <c r="J63" s="12" t="n"/>
      <c r="K63" s="12" t="n">
        <v>-0.1514</v>
      </c>
      <c r="L63" s="12" t="n"/>
      <c r="M63" s="13" t="inlineStr"/>
    </row>
    <row r="64">
      <c r="A64" s="4" t="inlineStr">
        <is>
          <t>SGBAUG28V  [zerodha]</t>
        </is>
      </c>
      <c r="B64" s="5" t="n">
        <v>46176</v>
      </c>
      <c r="C64" s="6" t="n">
        <v>528400</v>
      </c>
      <c r="D64" s="6" t="n">
        <v>1534100</v>
      </c>
      <c r="E64" s="6" t="n">
        <v>1488100</v>
      </c>
      <c r="F64" s="6" t="n"/>
      <c r="G64" s="6" t="n"/>
      <c r="H64" s="6" t="n"/>
      <c r="I64" s="6" t="n">
        <v>959700</v>
      </c>
      <c r="J64" s="7" t="n"/>
      <c r="K64" s="7" t="n">
        <v>1.8162</v>
      </c>
      <c r="L64" s="7" t="n"/>
      <c r="M64" s="8" t="inlineStr"/>
    </row>
    <row r="65">
      <c r="A65" s="9" t="inlineStr">
        <is>
          <t>SGBAUG28V-GB  [zerodha]</t>
        </is>
      </c>
      <c r="B65" s="10" t="n">
        <v>46179</v>
      </c>
      <c r="C65" s="11" t="n">
        <v>528400</v>
      </c>
      <c r="D65" s="11" t="n">
        <v>1491499</v>
      </c>
      <c r="E65" s="11" t="n">
        <v>1488998</v>
      </c>
      <c r="F65" s="11" t="n"/>
      <c r="G65" s="11" t="n"/>
      <c r="H65" s="11" t="n"/>
      <c r="I65" s="11" t="n">
        <v>960598</v>
      </c>
      <c r="J65" s="12" t="n"/>
      <c r="K65" s="12" t="n">
        <v>1.8179</v>
      </c>
      <c r="L65" s="12" t="n"/>
      <c r="M65" s="13" t="inlineStr"/>
    </row>
    <row r="66">
      <c r="A66" s="4" t="inlineStr">
        <is>
          <t>TATACOMM  [zerodha]</t>
        </is>
      </c>
      <c r="B66" s="5" t="n">
        <v>46176</v>
      </c>
      <c r="C66" s="6" t="n">
        <v>108642</v>
      </c>
      <c r="D66" s="6" t="n">
        <v>131314.8</v>
      </c>
      <c r="E66" s="6" t="n">
        <v>129540</v>
      </c>
      <c r="F66" s="6" t="n">
        <v>132368.8</v>
      </c>
      <c r="G66" s="6" t="n">
        <v>-2828.8</v>
      </c>
      <c r="H66" s="6" t="n"/>
      <c r="I66" s="6" t="n">
        <v>20898</v>
      </c>
      <c r="J66" s="7" t="n"/>
      <c r="K66" s="7" t="n">
        <v>0.1924</v>
      </c>
      <c r="L66" s="7" t="n"/>
      <c r="M66" s="8" t="inlineStr"/>
    </row>
    <row r="67">
      <c r="A67" s="9" t="inlineStr">
        <is>
          <t>TECHNOE  [zerodha]</t>
        </is>
      </c>
      <c r="B67" s="10" t="n">
        <v>46176</v>
      </c>
      <c r="C67" s="11" t="n">
        <v>668336.25</v>
      </c>
      <c r="D67" s="11" t="n">
        <v>607478.2</v>
      </c>
      <c r="E67" s="11" t="n">
        <v>610909.6</v>
      </c>
      <c r="F67" s="11" t="n">
        <v>629812.4</v>
      </c>
      <c r="G67" s="11" t="n">
        <v>-18902.8</v>
      </c>
      <c r="H67" s="11" t="n"/>
      <c r="I67" s="11" t="n">
        <v>-57426.65</v>
      </c>
      <c r="J67" s="12" t="n"/>
      <c r="K67" s="12" t="n">
        <v>-0.0859</v>
      </c>
      <c r="L67" s="12" t="n"/>
      <c r="M67" s="13" t="inlineStr"/>
    </row>
    <row r="68">
      <c r="A68" s="4" t="inlineStr">
        <is>
          <t>UPL  [zerodha]</t>
        </is>
      </c>
      <c r="B68" s="5" t="n">
        <v>46176</v>
      </c>
      <c r="C68" s="6" t="n">
        <v>847576.7</v>
      </c>
      <c r="D68" s="6" t="n">
        <v>872134.5</v>
      </c>
      <c r="E68" s="6" t="n">
        <v>865694.25</v>
      </c>
      <c r="F68" s="6" t="n">
        <v>895194.75</v>
      </c>
      <c r="G68" s="6" t="n">
        <v>-29500.5</v>
      </c>
      <c r="H68" s="6" t="n"/>
      <c r="I68" s="6" t="n">
        <v>18117.55</v>
      </c>
      <c r="J68" s="7" t="n"/>
      <c r="K68" s="7" t="n">
        <v>0.0214</v>
      </c>
      <c r="L68" s="7" t="n"/>
      <c r="M68" s="8" t="inlineStr"/>
    </row>
    <row r="69">
      <c r="A69" s="9" t="inlineStr">
        <is>
          <t>UTIAMC  [zerodha]</t>
        </is>
      </c>
      <c r="B69" s="10" t="n">
        <v>46176</v>
      </c>
      <c r="C69" s="11" t="n">
        <v>247550.25</v>
      </c>
      <c r="D69" s="11" t="n">
        <v>229350</v>
      </c>
      <c r="E69" s="11" t="n">
        <v>228500</v>
      </c>
      <c r="F69" s="11" t="n">
        <v>231175</v>
      </c>
      <c r="G69" s="11" t="n">
        <v>-2675</v>
      </c>
      <c r="H69" s="11" t="n"/>
      <c r="I69" s="11" t="n">
        <v>-19050.25</v>
      </c>
      <c r="J69" s="12" t="n"/>
      <c r="K69" s="12" t="n">
        <v>-0.077</v>
      </c>
      <c r="L69" s="12" t="n"/>
      <c r="M69" s="13" t="inlineStr"/>
    </row>
    <row r="70">
      <c r="A70" s="4" t="inlineStr">
        <is>
          <t>WAAREEENER  [zerodha]</t>
        </is>
      </c>
      <c r="B70" s="5" t="n">
        <v>46176</v>
      </c>
      <c r="C70" s="6" t="n">
        <v>110312.4</v>
      </c>
      <c r="D70" s="6" t="n">
        <v>100046.1</v>
      </c>
      <c r="E70" s="6" t="n">
        <v>99006.60000000001</v>
      </c>
      <c r="F70" s="6" t="n">
        <v>101811.6</v>
      </c>
      <c r="G70" s="6" t="n">
        <v>-2805</v>
      </c>
      <c r="H70" s="6" t="n"/>
      <c r="I70" s="6" t="n">
        <v>-11305.8</v>
      </c>
      <c r="J70" s="7" t="n"/>
      <c r="K70" s="7" t="n">
        <v>-0.1025</v>
      </c>
      <c r="L70" s="7" t="n"/>
      <c r="M70" s="8" t="inlineStr"/>
    </row>
    <row r="71">
      <c r="A71" s="9" t="inlineStr">
        <is>
          <t>WABAG  [zerodha]</t>
        </is>
      </c>
      <c r="B71" s="10" t="n">
        <v>46176</v>
      </c>
      <c r="C71" s="11" t="n">
        <v>671957.4</v>
      </c>
      <c r="D71" s="11" t="n">
        <v>869869</v>
      </c>
      <c r="E71" s="11" t="n">
        <v>852947.2</v>
      </c>
      <c r="F71" s="11" t="n">
        <v>861518.7</v>
      </c>
      <c r="G71" s="11" t="n">
        <v>-8571.5</v>
      </c>
      <c r="H71" s="11" t="n"/>
      <c r="I71" s="11" t="n">
        <v>180989.8</v>
      </c>
      <c r="J71" s="12" t="n"/>
      <c r="K71" s="12" t="n">
        <v>0.2693</v>
      </c>
      <c r="L71" s="12" t="n"/>
      <c r="M71" s="13" t="inlineStr"/>
    </row>
    <row r="72">
      <c r="A72" s="4" t="inlineStr">
        <is>
          <t>ZAGGLE-EQ  [angel_one]</t>
        </is>
      </c>
      <c r="B72" s="5" t="n">
        <v>46177</v>
      </c>
      <c r="C72" s="6" t="n">
        <v>258828</v>
      </c>
      <c r="D72" s="6" t="n">
        <v>235800</v>
      </c>
      <c r="E72" s="6" t="n">
        <v>235800</v>
      </c>
      <c r="F72" s="6" t="n">
        <v>242700</v>
      </c>
      <c r="G72" s="6" t="n">
        <v>-6900</v>
      </c>
      <c r="H72" s="6" t="n"/>
      <c r="I72" s="6" t="n">
        <v>-23028</v>
      </c>
      <c r="J72" s="7" t="n"/>
      <c r="K72" s="7" t="n">
        <v>-0.08897000000000001</v>
      </c>
      <c r="L72" s="7" t="n"/>
      <c r="M72" s="8" t="inlineStr"/>
    </row>
    <row r="73">
      <c r="A73" s="9" t="inlineStr">
        <is>
          <t>ZYDUSLIFE  [zerodha]</t>
        </is>
      </c>
      <c r="B73" s="10" t="n">
        <v>46176</v>
      </c>
      <c r="C73" s="11" t="n">
        <v>563752.75</v>
      </c>
      <c r="D73" s="11" t="n">
        <v>654900</v>
      </c>
      <c r="E73" s="11" t="n">
        <v>649680</v>
      </c>
      <c r="F73" s="11" t="n">
        <v>645960</v>
      </c>
      <c r="G73" s="11" t="n">
        <v>3720</v>
      </c>
      <c r="H73" s="11" t="n"/>
      <c r="I73" s="11" t="n">
        <v>85927.25</v>
      </c>
      <c r="J73" s="12" t="n"/>
      <c r="K73" s="12" t="n">
        <v>0.1524</v>
      </c>
      <c r="L73" s="12" t="n"/>
      <c r="M73" s="13" t="inlineStr"/>
    </row>
    <row r="74">
      <c r="A74" s="14" t="inlineStr">
        <is>
          <t>Total Direct Equities</t>
        </is>
      </c>
      <c r="C74" s="15">
        <f>SUM(C22:C73)</f>
        <v/>
      </c>
      <c r="D74" s="15">
        <f>SUM(D22:D73)</f>
        <v/>
      </c>
      <c r="E74" s="15">
        <f>SUM(E22:E73)</f>
        <v/>
      </c>
      <c r="F74" s="15">
        <f>SUM(F22:F73)</f>
        <v/>
      </c>
      <c r="G74" s="15">
        <f>SUM(G22:G73)</f>
        <v/>
      </c>
      <c r="H74" s="15">
        <f>SUM(H22:H73)</f>
        <v/>
      </c>
      <c r="I74" s="15">
        <f>SUM(I22:I73)</f>
        <v/>
      </c>
      <c r="J74" s="16" t="n"/>
      <c r="K74" s="16" t="n"/>
      <c r="L74" s="16" t="n"/>
      <c r="M74" s="16" t="n"/>
    </row>
    <row r="75">
      <c r="A75" s="14" t="inlineStr">
        <is>
          <t>B. TOTAL EQUITY</t>
        </is>
      </c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</row>
    <row r="77" ht="16" customHeight="1">
      <c r="A77" s="3" t="inlineStr">
        <is>
          <t>ALTERNATES</t>
        </is>
      </c>
    </row>
    <row r="78">
      <c r="A78" s="14" t="inlineStr">
        <is>
          <t>D. TOTAL ALTERNATES</t>
        </is>
      </c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</row>
    <row r="80" ht="16" customHeight="1">
      <c r="A80" s="3" t="inlineStr">
        <is>
          <t>E. Funds in Transit</t>
        </is>
      </c>
    </row>
    <row r="82" ht="16" customHeight="1">
      <c r="A82" s="3" t="inlineStr">
        <is>
          <t>F. Broker Balance</t>
        </is>
      </c>
    </row>
    <row r="84" ht="16" customHeight="1">
      <c r="A84" s="3" t="inlineStr">
        <is>
          <t>G. Funds in Bank</t>
        </is>
      </c>
    </row>
    <row r="86">
      <c r="A86" s="14" t="inlineStr">
        <is>
          <t>H. GRAND TOTAL (A+B+D+E+F+G)</t>
        </is>
      </c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</row>
    <row r="88">
      <c r="A88" s="17" t="inlineStr">
        <is>
          <t>Report generated on 08 Jun 2026 11:25 UTC  |  MF data auto-populated from CAS  |  Manual inputs as last updated in portal</t>
        </is>
      </c>
    </row>
  </sheetData>
  <mergeCells count="20">
    <mergeCell ref="A4:M4"/>
    <mergeCell ref="A13:M13"/>
    <mergeCell ref="A78:B78"/>
    <mergeCell ref="A75:B75"/>
    <mergeCell ref="A77:M77"/>
    <mergeCell ref="A74:B74"/>
    <mergeCell ref="A82:M82"/>
    <mergeCell ref="A86:B86"/>
    <mergeCell ref="A1:M1"/>
    <mergeCell ref="A88:M88"/>
    <mergeCell ref="A17:B17"/>
    <mergeCell ref="A84:M84"/>
    <mergeCell ref="A20:B20"/>
    <mergeCell ref="A80:M80"/>
    <mergeCell ref="A10:B10"/>
    <mergeCell ref="A12:M12"/>
    <mergeCell ref="A18:M18"/>
    <mergeCell ref="A3:M3"/>
    <mergeCell ref="A21:M2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2026-06-08T11:25:35Z</dcterms:created>
  <dcterms:modified xsi:type="dcterms:W3CDTF">2026-06-08T11:25:36Z</dcterms:modified>
</cp:coreProperties>
</file>