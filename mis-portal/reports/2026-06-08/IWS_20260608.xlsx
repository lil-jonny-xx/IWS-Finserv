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</sheets>
  <definedNames>
    <definedName name="_xlnm.Print_Titles" localSheetId="0">'Performance Summary'!$1:$2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YY"/>
    <numFmt numFmtId="165" formatCode="₹#,##0.00"/>
    <numFmt numFmtId="166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bottom style="medium">
        <color rgb="002F549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wrapText="1" indent="2"/>
    </xf>
    <xf numFmtId="164" fontId="4" fillId="5" borderId="1" applyAlignment="1" pivotButton="0" quotePrefix="0" xfId="0">
      <alignment horizontal="center"/>
    </xf>
    <xf numFmtId="165" fontId="4" fillId="5" borderId="1" applyAlignment="1" pivotButton="0" quotePrefix="0" xfId="0">
      <alignment horizontal="right"/>
    </xf>
    <xf numFmtId="10" fontId="4" fillId="5" borderId="1" applyAlignment="1" pivotButton="0" quotePrefix="0" xfId="0">
      <alignment horizontal="right"/>
    </xf>
    <xf numFmtId="0" fontId="4" fillId="5" borderId="1" applyAlignment="1" pivotButton="0" quotePrefix="0" xfId="0">
      <alignment horizontal="left" wrapText="1"/>
    </xf>
    <xf numFmtId="0" fontId="4" fillId="6" borderId="1" applyAlignment="1" pivotButton="0" quotePrefix="0" xfId="0">
      <alignment horizontal="left" wrapText="1" indent="2"/>
    </xf>
    <xf numFmtId="164" fontId="4" fillId="6" borderId="1" applyAlignment="1" pivotButton="0" quotePrefix="0" xfId="0">
      <alignment horizontal="center"/>
    </xf>
    <xf numFmtId="165" fontId="4" fillId="6" borderId="1" applyAlignment="1" pivotButton="0" quotePrefix="0" xfId="0">
      <alignment horizontal="right"/>
    </xf>
    <xf numFmtId="10" fontId="4" fillId="6" borderId="1" applyAlignment="1" pivotButton="0" quotePrefix="0" xfId="0">
      <alignment horizontal="right"/>
    </xf>
    <xf numFmtId="0" fontId="4" fillId="6" borderId="1" applyAlignment="1" pivotButton="0" quotePrefix="0" xfId="0">
      <alignment horizontal="left" wrapText="1"/>
    </xf>
    <xf numFmtId="0" fontId="3" fillId="7" borderId="1" applyAlignment="1" pivotButton="0" quotePrefix="0" xfId="0">
      <alignment horizontal="left" indent="1"/>
    </xf>
    <xf numFmtId="165" fontId="3" fillId="7" borderId="1" applyAlignment="1" pivotButton="0" quotePrefix="0" xfId="0">
      <alignment horizontal="right"/>
    </xf>
    <xf numFmtId="0" fontId="3" fillId="7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Performance Summary — IWS   |   As on 08 Jun 2026</t>
        </is>
      </c>
    </row>
    <row r="2" ht="30" customHeight="1">
      <c r="A2" s="2" t="inlineStr">
        <is>
          <t>Asset Class / Fund</t>
        </is>
      </c>
      <c r="B2" s="2" t="inlineStr">
        <is>
          <t>Inception Date</t>
        </is>
      </c>
      <c r="C2" s="2" t="inlineStr">
        <is>
          <t>Cost (₹)</t>
        </is>
      </c>
      <c r="D2" s="2" t="inlineStr">
        <is>
          <t>Mkt Value
31-Mar</t>
        </is>
      </c>
      <c r="E2" s="2" t="inlineStr">
        <is>
          <t>Current
Mkt Value (₹)</t>
        </is>
      </c>
      <c r="F2" s="2" t="inlineStr">
        <is>
          <t>Prev Week
Value (₹)</t>
        </is>
      </c>
      <c r="G2" s="2" t="inlineStr">
        <is>
          <t>Weekly
Change (₹)</t>
        </is>
      </c>
      <c r="H2" s="2" t="inlineStr">
        <is>
          <t>P&amp;L YTD (₹)</t>
        </is>
      </c>
      <c r="I2" s="2" t="inlineStr">
        <is>
          <t>P&amp;L Inception (₹)</t>
        </is>
      </c>
      <c r="J2" s="2" t="inlineStr">
        <is>
          <t>Returns
YTD %</t>
        </is>
      </c>
      <c r="K2" s="2" t="inlineStr">
        <is>
          <t>Returns
Inception %</t>
        </is>
      </c>
      <c r="L2" s="2" t="inlineStr">
        <is>
          <t>CAGR
Inception %</t>
        </is>
      </c>
      <c r="M2" s="2" t="inlineStr">
        <is>
          <t>Remarks</t>
        </is>
      </c>
    </row>
    <row r="3" ht="16" customHeight="1">
      <c r="A3" s="3" t="inlineStr">
        <is>
          <t>FIXED INCOME</t>
        </is>
      </c>
    </row>
    <row r="4" ht="16" customHeight="1">
      <c r="A4" s="3" t="inlineStr">
        <is>
          <t>MF — Debt / Liquid Funds</t>
        </is>
      </c>
    </row>
    <row r="5">
      <c r="A5" s="4" t="inlineStr">
        <is>
          <t>ICICI Prudential Savings Fund - Growth</t>
        </is>
      </c>
      <c r="B5" s="5" t="n"/>
      <c r="C5" s="6" t="n">
        <v>1708371.1</v>
      </c>
      <c r="D5" s="6" t="n">
        <v>1722024.68</v>
      </c>
      <c r="E5" s="6" t="n">
        <v>1722024.6801</v>
      </c>
      <c r="F5" s="6" t="n">
        <v>1716743.33</v>
      </c>
      <c r="G5" s="6" t="n">
        <v>5281.35</v>
      </c>
      <c r="H5" s="6" t="n">
        <v>16657.45</v>
      </c>
      <c r="I5" s="6" t="n">
        <v>13653.58</v>
      </c>
      <c r="J5" s="7" t="n">
        <v>0.009768000000000001</v>
      </c>
      <c r="K5" s="7" t="n">
        <v>0.007992000000000001</v>
      </c>
      <c r="L5" s="7" t="n"/>
      <c r="M5" s="8" t="inlineStr"/>
    </row>
    <row r="6">
      <c r="A6" s="9" t="inlineStr">
        <is>
          <t>Kotak Banking and PSU Debt Fund - Growth (Regular Plan)</t>
        </is>
      </c>
      <c r="B6" s="10" t="n">
        <v>43803</v>
      </c>
      <c r="C6" s="11" t="n">
        <v>4219729.01</v>
      </c>
      <c r="D6" s="11" t="n">
        <v>6397562.13</v>
      </c>
      <c r="E6" s="11" t="n">
        <v>6397562.1336</v>
      </c>
      <c r="F6" s="11" t="n">
        <v>6361093.56</v>
      </c>
      <c r="G6" s="11" t="n">
        <v>36468.57</v>
      </c>
      <c r="H6" s="11" t="n">
        <v>63242.13</v>
      </c>
      <c r="I6" s="11" t="n">
        <v>2177833.12</v>
      </c>
      <c r="J6" s="12" t="n">
        <v>0.009984</v>
      </c>
      <c r="K6" s="12" t="n">
        <v>0.516107</v>
      </c>
      <c r="L6" s="12" t="n">
        <v>0.06600500000000001</v>
      </c>
      <c r="M6" s="13" t="inlineStr"/>
    </row>
    <row r="7">
      <c r="A7" s="14" t="inlineStr">
        <is>
          <t>Total MF Debt / Liquid</t>
        </is>
      </c>
      <c r="C7" s="15">
        <f>SUM(C5:C6)</f>
        <v/>
      </c>
      <c r="D7" s="15">
        <f>SUM(D5:D6)</f>
        <v/>
      </c>
      <c r="E7" s="15">
        <f>SUM(E5:E6)</f>
        <v/>
      </c>
      <c r="F7" s="15">
        <f>SUM(F5:F6)</f>
        <v/>
      </c>
      <c r="G7" s="15">
        <f>SUM(G5:G6)</f>
        <v/>
      </c>
      <c r="H7" s="15">
        <f>SUM(H5:H6)</f>
        <v/>
      </c>
      <c r="I7" s="15">
        <f>SUM(I5:I6)</f>
        <v/>
      </c>
      <c r="J7" s="16" t="n"/>
      <c r="K7" s="16" t="n"/>
      <c r="L7" s="16" t="n"/>
      <c r="M7" s="16" t="n"/>
    </row>
    <row r="8">
      <c r="A8" s="14" t="inlineStr">
        <is>
          <t>A. TOTAL FIXED INCOME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10" ht="16" customHeight="1">
      <c r="A10" s="3" t="inlineStr">
        <is>
          <t>EQUITY</t>
        </is>
      </c>
    </row>
    <row r="11" ht="16" customHeight="1">
      <c r="A11" s="3" t="inlineStr">
        <is>
          <t>MF — Equity Funds</t>
        </is>
      </c>
    </row>
    <row r="12">
      <c r="A12" s="4" t="inlineStr">
        <is>
          <t>HDFC BSE Sensex Index Fund - Regular Plan</t>
        </is>
      </c>
      <c r="B12" s="5" t="n">
        <v>44299</v>
      </c>
      <c r="C12" s="6" t="n">
        <v>3100000</v>
      </c>
      <c r="D12" s="6" t="n">
        <v>3525513.25</v>
      </c>
      <c r="E12" s="6" t="n">
        <v>3525513.2497</v>
      </c>
      <c r="F12" s="6" t="n">
        <v>3549366.25</v>
      </c>
      <c r="G12" s="6" t="n">
        <v>-23853</v>
      </c>
      <c r="H12" s="6" t="n">
        <v>58795.68</v>
      </c>
      <c r="I12" s="6" t="n">
        <v>425513.25</v>
      </c>
      <c r="J12" s="7" t="n">
        <v>0.01696</v>
      </c>
      <c r="K12" s="7" t="n">
        <v>0.137262</v>
      </c>
      <c r="L12" s="7" t="n">
        <v>0.025277</v>
      </c>
      <c r="M12" s="8" t="inlineStr"/>
    </row>
    <row r="13">
      <c r="A13" s="9" t="inlineStr">
        <is>
          <t>ICICI Prudential Dynamic Asset Allocation Active FOF-Growth (formerly ICICI Prudential Advisor Series</t>
        </is>
      </c>
      <c r="B13" s="10" t="n">
        <v>43711</v>
      </c>
      <c r="C13" s="11" t="n">
        <v>14674999.74</v>
      </c>
      <c r="D13" s="11" t="n">
        <v>28052133.59</v>
      </c>
      <c r="E13" s="11" t="n">
        <v>28052133.5856</v>
      </c>
      <c r="F13" s="11" t="n">
        <v>28171669.81</v>
      </c>
      <c r="G13" s="11" t="n">
        <v>-119536.22</v>
      </c>
      <c r="H13" s="11" t="n">
        <v>1374388.39</v>
      </c>
      <c r="I13" s="11" t="n">
        <v>13377133.85</v>
      </c>
      <c r="J13" s="12" t="n">
        <v>0.05151799999999999</v>
      </c>
      <c r="K13" s="12" t="n">
        <v>0.911559</v>
      </c>
      <c r="L13" s="12" t="n">
        <v>0.100551</v>
      </c>
      <c r="M13" s="13" t="inlineStr"/>
    </row>
    <row r="14">
      <c r="A14" s="4" t="inlineStr">
        <is>
          <t>ICICI Prudential Multi-Asset Fund - Direct Plan - Growth</t>
        </is>
      </c>
      <c r="B14" s="5" t="n">
        <v>44827</v>
      </c>
      <c r="C14" s="6" t="n">
        <v>576325</v>
      </c>
      <c r="D14" s="6" t="n">
        <v>833110.28</v>
      </c>
      <c r="E14" s="6" t="n">
        <v>833110.2751</v>
      </c>
      <c r="F14" s="6" t="n">
        <v>838746.24</v>
      </c>
      <c r="G14" s="6" t="n">
        <v>-5635.96</v>
      </c>
      <c r="H14" s="6" t="n">
        <v>27821.58</v>
      </c>
      <c r="I14" s="6" t="n">
        <v>256785.28</v>
      </c>
      <c r="J14" s="7" t="n">
        <v>0.034549</v>
      </c>
      <c r="K14" s="7" t="n">
        <v>0.445556</v>
      </c>
      <c r="L14" s="7" t="n">
        <v>0.104512</v>
      </c>
      <c r="M14" s="8" t="inlineStr"/>
    </row>
    <row r="15">
      <c r="A15" s="9" t="inlineStr">
        <is>
          <t>ICICI Prudential Multi-Asset Fund - Growth</t>
        </is>
      </c>
      <c r="B15" s="10" t="n"/>
      <c r="C15" s="11" t="n">
        <v>500000</v>
      </c>
      <c r="D15" s="11" t="n">
        <v>659151.22</v>
      </c>
      <c r="E15" s="11" t="n">
        <v>659151.2181000001</v>
      </c>
      <c r="F15" s="11" t="n">
        <v>663688.16</v>
      </c>
      <c r="G15" s="11" t="n">
        <v>-4536.94</v>
      </c>
      <c r="H15" s="11" t="n">
        <v>21292.85</v>
      </c>
      <c r="I15" s="11" t="n">
        <v>159151.22</v>
      </c>
      <c r="J15" s="12" t="n">
        <v>0.033382</v>
      </c>
      <c r="K15" s="12" t="n">
        <v>0.318302</v>
      </c>
      <c r="L15" s="12" t="n"/>
      <c r="M15" s="13" t="inlineStr"/>
    </row>
    <row r="16">
      <c r="A16" s="14" t="inlineStr">
        <is>
          <t>Total MF — Equity Funds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  <c r="J16" s="16" t="n"/>
      <c r="K16" s="16" t="n"/>
      <c r="L16" s="16" t="n"/>
      <c r="M16" s="16" t="n"/>
    </row>
    <row r="17">
      <c r="A17" s="14" t="inlineStr">
        <is>
          <t>B. TOTAL EQUITY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</row>
    <row r="19" ht="16" customHeight="1">
      <c r="A19" s="3" t="inlineStr">
        <is>
          <t>ALTERNATES</t>
        </is>
      </c>
    </row>
    <row r="20">
      <c r="A20" s="14" t="inlineStr">
        <is>
          <t>D. TOTAL ALTERNATES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</row>
    <row r="22" ht="16" customHeight="1">
      <c r="A22" s="3" t="inlineStr">
        <is>
          <t>E. Funds in Transit</t>
        </is>
      </c>
    </row>
    <row r="24" ht="16" customHeight="1">
      <c r="A24" s="3" t="inlineStr">
        <is>
          <t>F. Broker Balance</t>
        </is>
      </c>
    </row>
    <row r="26" ht="16" customHeight="1">
      <c r="A26" s="3" t="inlineStr">
        <is>
          <t>G. Funds in Bank</t>
        </is>
      </c>
    </row>
    <row r="28">
      <c r="A28" s="14" t="inlineStr">
        <is>
          <t>H. GRAND TOTAL (A+B+D+E+F+G)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</row>
    <row r="30">
      <c r="A30" s="17" t="inlineStr">
        <is>
          <t>Report generated on 08 Jun 2026 11:25 UTC  |  MF data auto-populated from CAS  |  Manual inputs as last updated in portal</t>
        </is>
      </c>
    </row>
  </sheetData>
  <mergeCells count="16">
    <mergeCell ref="A19:M19"/>
    <mergeCell ref="A20:B20"/>
    <mergeCell ref="A16:B16"/>
    <mergeCell ref="A24:M24"/>
    <mergeCell ref="A1:M1"/>
    <mergeCell ref="A7:B7"/>
    <mergeCell ref="A22:M22"/>
    <mergeCell ref="A28:B28"/>
    <mergeCell ref="A4:M4"/>
    <mergeCell ref="A3:M3"/>
    <mergeCell ref="A26:M26"/>
    <mergeCell ref="A30:M30"/>
    <mergeCell ref="A17:B17"/>
    <mergeCell ref="A8:B8"/>
    <mergeCell ref="A11:M11"/>
    <mergeCell ref="A10:M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2026-06-08T11:25:36Z</dcterms:created>
  <dcterms:modified xsi:type="dcterms:W3CDTF">2026-06-08T11:25:36Z</dcterms:modified>
</cp:coreProperties>
</file>