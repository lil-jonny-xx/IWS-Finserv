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formance Summary" sheetId="1" state="visible" r:id="rId1"/>
  </sheets>
  <definedNames>
    <definedName name="_xlnm.Print_Titles" localSheetId="0">'Performance Summary'!$1:$2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₹#,##0.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b val="1"/>
      <color rgb="001F3864"/>
      <sz val="9"/>
    </font>
    <font>
      <name val="Calibri"/>
      <sz val="9"/>
    </font>
    <font>
      <name val="Calibri"/>
      <i val="1"/>
      <color rgb="00595959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F2F7FC"/>
      </patternFill>
    </fill>
  </fills>
  <borders count="3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  <border>
      <bottom style="medium">
        <color rgb="002F549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indent="1"/>
    </xf>
    <xf numFmtId="0" fontId="3" fillId="5" borderId="1" applyAlignment="1" pivotButton="0" quotePrefix="0" xfId="0">
      <alignment horizontal="left" indent="1"/>
    </xf>
    <xf numFmtId="0" fontId="3" fillId="5" borderId="1" pivotButton="0" quotePrefix="0" xfId="0"/>
    <xf numFmtId="0" fontId="4" fillId="6" borderId="1" applyAlignment="1" pivotButton="0" quotePrefix="0" xfId="0">
      <alignment horizontal="left" wrapText="1" indent="2"/>
    </xf>
    <xf numFmtId="165" fontId="4" fillId="6" borderId="1" applyAlignment="1" pivotButton="0" quotePrefix="0" xfId="0">
      <alignment horizontal="center"/>
    </xf>
    <xf numFmtId="166" fontId="4" fillId="6" borderId="1" applyAlignment="1" pivotButton="0" quotePrefix="0" xfId="0">
      <alignment horizontal="right"/>
    </xf>
    <xf numFmtId="10" fontId="4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wrapText="1"/>
    </xf>
    <xf numFmtId="0" fontId="4" fillId="7" borderId="1" applyAlignment="1" pivotButton="0" quotePrefix="0" xfId="0">
      <alignment horizontal="left" wrapText="1" indent="2"/>
    </xf>
    <xf numFmtId="165" fontId="4" fillId="7" borderId="1" applyAlignment="1" pivotButton="0" quotePrefix="0" xfId="0">
      <alignment horizontal="center"/>
    </xf>
    <xf numFmtId="166" fontId="4" fillId="7" borderId="1" applyAlignment="1" pivotButton="0" quotePrefix="0" xfId="0">
      <alignment horizontal="right"/>
    </xf>
    <xf numFmtId="10" fontId="4" fillId="7" borderId="1" applyAlignment="1" pivotButton="0" quotePrefix="0" xfId="0">
      <alignment horizontal="right"/>
    </xf>
    <xf numFmtId="0" fontId="4" fillId="7" borderId="1" applyAlignment="1" pivotButton="0" quotePrefix="0" xfId="0">
      <alignment horizontal="left" wrapText="1"/>
    </xf>
    <xf numFmtId="166" fontId="3" fillId="5" borderId="1" applyAlignment="1" pivotButton="0" quotePrefix="0" xfId="0">
      <alignment horizontal="right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20" customWidth="1" min="13" max="13"/>
  </cols>
  <sheetData>
    <row r="1" ht="22" customHeight="1">
      <c r="A1" s="1" t="inlineStr">
        <is>
          <t>Performance Summary — SDR   |   As on 08 Jun 2026</t>
        </is>
      </c>
    </row>
    <row r="2" ht="30" customHeight="1">
      <c r="A2" s="2" t="inlineStr">
        <is>
          <t>Asset Class / Fund</t>
        </is>
      </c>
      <c r="B2" s="2" t="inlineStr">
        <is>
          <t>Inception Date</t>
        </is>
      </c>
      <c r="C2" s="2" t="inlineStr">
        <is>
          <t>Cost (₹)</t>
        </is>
      </c>
      <c r="D2" s="2" t="inlineStr">
        <is>
          <t>Mkt Value
31-Mar</t>
        </is>
      </c>
      <c r="E2" s="2" t="inlineStr">
        <is>
          <t>Current
Mkt Value (₹)</t>
        </is>
      </c>
      <c r="F2" s="2" t="inlineStr">
        <is>
          <t>Prev Week
Value (₹)</t>
        </is>
      </c>
      <c r="G2" s="2" t="inlineStr">
        <is>
          <t>Weekly
Change (₹)</t>
        </is>
      </c>
      <c r="H2" s="2" t="inlineStr">
        <is>
          <t>P&amp;L YTD (₹)</t>
        </is>
      </c>
      <c r="I2" s="2" t="inlineStr">
        <is>
          <t>P&amp;L Inception (₹)</t>
        </is>
      </c>
      <c r="J2" s="2" t="inlineStr">
        <is>
          <t>Returns
YTD %</t>
        </is>
      </c>
      <c r="K2" s="2" t="inlineStr">
        <is>
          <t>Returns
Inception %</t>
        </is>
      </c>
      <c r="L2" s="2" t="inlineStr">
        <is>
          <t>CAGR
Inception %</t>
        </is>
      </c>
      <c r="M2" s="2" t="inlineStr">
        <is>
          <t>Remarks</t>
        </is>
      </c>
    </row>
    <row r="3" ht="16" customHeight="1">
      <c r="A3" s="3" t="inlineStr">
        <is>
          <t>FIXED INCOME</t>
        </is>
      </c>
    </row>
    <row r="4">
      <c r="A4" s="4" t="inlineStr">
        <is>
          <t>A. TOTAL FIXED INCOME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6" ht="16" customHeight="1">
      <c r="A6" s="3" t="inlineStr">
        <is>
          <t>EQUITY</t>
        </is>
      </c>
    </row>
    <row r="7" ht="16" customHeight="1">
      <c r="A7" s="3" t="inlineStr">
        <is>
          <t>Direct Equities</t>
        </is>
      </c>
    </row>
    <row r="8">
      <c r="A8" s="6" t="inlineStr">
        <is>
          <t>BANDHANBNK</t>
        </is>
      </c>
      <c r="B8" s="7" t="n">
        <v>46181</v>
      </c>
      <c r="C8" s="8" t="n">
        <v>42973</v>
      </c>
      <c r="D8" s="8" t="n">
        <v>26669.5</v>
      </c>
      <c r="E8" s="8" t="n">
        <v>26247</v>
      </c>
      <c r="F8" s="8" t="n"/>
      <c r="G8" s="8" t="n"/>
      <c r="H8" s="8" t="n"/>
      <c r="I8" s="8" t="n">
        <v>-16726</v>
      </c>
      <c r="J8" s="9" t="n"/>
      <c r="K8" s="9" t="n">
        <v>-0.3892</v>
      </c>
      <c r="L8" s="9" t="n"/>
      <c r="M8" s="10" t="inlineStr"/>
    </row>
    <row r="9">
      <c r="A9" s="11" t="inlineStr">
        <is>
          <t>CCAVENUE</t>
        </is>
      </c>
      <c r="B9" s="12" t="n">
        <v>46181</v>
      </c>
      <c r="C9" s="13" t="n">
        <v>59258.49</v>
      </c>
      <c r="D9" s="13" t="n">
        <v>41340</v>
      </c>
      <c r="E9" s="13" t="n">
        <v>41400</v>
      </c>
      <c r="F9" s="13" t="n"/>
      <c r="G9" s="13" t="n"/>
      <c r="H9" s="13" t="n"/>
      <c r="I9" s="13" t="n">
        <v>-17858.49</v>
      </c>
      <c r="J9" s="14" t="n"/>
      <c r="K9" s="14" t="n">
        <v>-0.3014</v>
      </c>
      <c r="L9" s="14" t="n"/>
      <c r="M9" s="15" t="inlineStr"/>
    </row>
    <row r="10">
      <c r="A10" s="6" t="inlineStr">
        <is>
          <t>GLOBUSSPR</t>
        </is>
      </c>
      <c r="B10" s="7" t="n">
        <v>46181</v>
      </c>
      <c r="C10" s="8" t="n">
        <v>40259.3</v>
      </c>
      <c r="D10" s="8" t="n">
        <v>85100</v>
      </c>
      <c r="E10" s="8" t="n">
        <v>84330</v>
      </c>
      <c r="F10" s="8" t="n"/>
      <c r="G10" s="8" t="n"/>
      <c r="H10" s="8" t="n"/>
      <c r="I10" s="8" t="n">
        <v>44070.7</v>
      </c>
      <c r="J10" s="9" t="n"/>
      <c r="K10" s="9" t="n">
        <v>1.0947</v>
      </c>
      <c r="L10" s="9" t="n"/>
      <c r="M10" s="10" t="inlineStr"/>
    </row>
    <row r="11">
      <c r="A11" s="11" t="inlineStr">
        <is>
          <t>GOLDBEES</t>
        </is>
      </c>
      <c r="B11" s="12" t="n">
        <v>46181</v>
      </c>
      <c r="C11" s="13" t="n">
        <v>472706.43</v>
      </c>
      <c r="D11" s="13" t="n">
        <v>869400</v>
      </c>
      <c r="E11" s="13" t="n">
        <v>870030</v>
      </c>
      <c r="F11" s="13" t="n"/>
      <c r="G11" s="13" t="n"/>
      <c r="H11" s="13" t="n"/>
      <c r="I11" s="13" t="n">
        <v>397323.57</v>
      </c>
      <c r="J11" s="14" t="n"/>
      <c r="K11" s="14" t="n">
        <v>0.8405</v>
      </c>
      <c r="L11" s="14" t="n"/>
      <c r="M11" s="15" t="inlineStr"/>
    </row>
    <row r="12">
      <c r="A12" s="6" t="inlineStr">
        <is>
          <t>GOLDIETF</t>
        </is>
      </c>
      <c r="B12" s="7" t="n">
        <v>46181</v>
      </c>
      <c r="C12" s="8" t="n">
        <v>206896.42</v>
      </c>
      <c r="D12" s="8" t="n">
        <v>513800</v>
      </c>
      <c r="E12" s="8" t="n">
        <v>514200</v>
      </c>
      <c r="F12" s="8" t="n"/>
      <c r="G12" s="8" t="n"/>
      <c r="H12" s="8" t="n"/>
      <c r="I12" s="8" t="n">
        <v>307303.58</v>
      </c>
      <c r="J12" s="9" t="n"/>
      <c r="K12" s="9" t="n">
        <v>1.4853</v>
      </c>
      <c r="L12" s="9" t="n"/>
      <c r="M12" s="10" t="inlineStr"/>
    </row>
    <row r="13">
      <c r="A13" s="11" t="inlineStr">
        <is>
          <t>HAL</t>
        </is>
      </c>
      <c r="B13" s="12" t="n">
        <v>46181</v>
      </c>
      <c r="C13" s="13" t="n">
        <v>55660</v>
      </c>
      <c r="D13" s="13" t="n">
        <v>42102</v>
      </c>
      <c r="E13" s="13" t="n">
        <v>42280</v>
      </c>
      <c r="F13" s="13" t="n"/>
      <c r="G13" s="13" t="n"/>
      <c r="H13" s="13" t="n"/>
      <c r="I13" s="13" t="n">
        <v>-13380</v>
      </c>
      <c r="J13" s="14" t="n"/>
      <c r="K13" s="14" t="n">
        <v>-0.2404</v>
      </c>
      <c r="L13" s="14" t="n"/>
      <c r="M13" s="15" t="inlineStr"/>
    </row>
    <row r="14">
      <c r="A14" s="6" t="inlineStr">
        <is>
          <t>INFY</t>
        </is>
      </c>
      <c r="B14" s="7" t="n">
        <v>46181</v>
      </c>
      <c r="C14" s="8" t="n">
        <v>42941</v>
      </c>
      <c r="D14" s="8" t="n">
        <v>42879.6</v>
      </c>
      <c r="E14" s="8" t="n">
        <v>42732</v>
      </c>
      <c r="F14" s="8" t="n"/>
      <c r="G14" s="8" t="n"/>
      <c r="H14" s="8" t="n"/>
      <c r="I14" s="8" t="n">
        <v>-209</v>
      </c>
      <c r="J14" s="9" t="n"/>
      <c r="K14" s="9" t="n">
        <v>-0.0049</v>
      </c>
      <c r="L14" s="9" t="n"/>
      <c r="M14" s="10" t="inlineStr"/>
    </row>
    <row r="15">
      <c r="A15" s="11" t="inlineStr">
        <is>
          <t>JIOFIN</t>
        </is>
      </c>
      <c r="B15" s="12" t="n">
        <v>46181</v>
      </c>
      <c r="C15" s="13" t="n">
        <v>150510</v>
      </c>
      <c r="D15" s="13" t="n">
        <v>150767.5</v>
      </c>
      <c r="E15" s="13" t="n">
        <v>148297.5</v>
      </c>
      <c r="F15" s="13" t="n"/>
      <c r="G15" s="13" t="n"/>
      <c r="H15" s="13" t="n"/>
      <c r="I15" s="13" t="n">
        <v>-2212.5</v>
      </c>
      <c r="J15" s="14" t="n"/>
      <c r="K15" s="14" t="n">
        <v>-0.0147</v>
      </c>
      <c r="L15" s="14" t="n"/>
      <c r="M15" s="15" t="inlineStr"/>
    </row>
    <row r="16">
      <c r="A16" s="6" t="inlineStr">
        <is>
          <t>KPITTECH</t>
        </is>
      </c>
      <c r="B16" s="7" t="n">
        <v>46181</v>
      </c>
      <c r="C16" s="8" t="n">
        <v>35498.3</v>
      </c>
      <c r="D16" s="8" t="n">
        <v>76205</v>
      </c>
      <c r="E16" s="8" t="n">
        <v>75200</v>
      </c>
      <c r="F16" s="8" t="n"/>
      <c r="G16" s="8" t="n"/>
      <c r="H16" s="8" t="n"/>
      <c r="I16" s="8" t="n">
        <v>39701.7</v>
      </c>
      <c r="J16" s="9" t="n"/>
      <c r="K16" s="9" t="n">
        <v>1.1184</v>
      </c>
      <c r="L16" s="9" t="n"/>
      <c r="M16" s="10" t="inlineStr"/>
    </row>
    <row r="17">
      <c r="A17" s="11" t="inlineStr">
        <is>
          <t>LT</t>
        </is>
      </c>
      <c r="B17" s="12" t="n">
        <v>46181</v>
      </c>
      <c r="C17" s="13" t="n">
        <v>37352</v>
      </c>
      <c r="D17" s="13" t="n">
        <v>117111</v>
      </c>
      <c r="E17" s="13" t="n">
        <v>116040</v>
      </c>
      <c r="F17" s="13" t="n"/>
      <c r="G17" s="13" t="n"/>
      <c r="H17" s="13" t="n"/>
      <c r="I17" s="13" t="n">
        <v>78688</v>
      </c>
      <c r="J17" s="14" t="n"/>
      <c r="K17" s="14" t="n">
        <v>2.1067</v>
      </c>
      <c r="L17" s="14" t="n"/>
      <c r="M17" s="15" t="inlineStr"/>
    </row>
    <row r="18">
      <c r="A18" s="6" t="inlineStr">
        <is>
          <t>NATIONALUM</t>
        </is>
      </c>
      <c r="B18" s="7" t="n">
        <v>46181</v>
      </c>
      <c r="C18" s="8" t="n">
        <v>29052.9</v>
      </c>
      <c r="D18" s="8" t="n">
        <v>61680</v>
      </c>
      <c r="E18" s="8" t="n">
        <v>60176</v>
      </c>
      <c r="F18" s="8" t="n"/>
      <c r="G18" s="8" t="n"/>
      <c r="H18" s="8" t="n"/>
      <c r="I18" s="8" t="n">
        <v>31123.1</v>
      </c>
      <c r="J18" s="9" t="n"/>
      <c r="K18" s="9" t="n">
        <v>1.0713</v>
      </c>
      <c r="L18" s="9" t="n"/>
      <c r="M18" s="10" t="inlineStr"/>
    </row>
    <row r="19">
      <c r="A19" s="11" t="inlineStr">
        <is>
          <t>POLYCAB</t>
        </is>
      </c>
      <c r="B19" s="12" t="n">
        <v>46181</v>
      </c>
      <c r="C19" s="13" t="n">
        <v>50894</v>
      </c>
      <c r="D19" s="13" t="n">
        <v>288120</v>
      </c>
      <c r="E19" s="13" t="n">
        <v>283620</v>
      </c>
      <c r="F19" s="13" t="n"/>
      <c r="G19" s="13" t="n"/>
      <c r="H19" s="13" t="n"/>
      <c r="I19" s="13" t="n">
        <v>232726</v>
      </c>
      <c r="J19" s="14" t="n"/>
      <c r="K19" s="14" t="n">
        <v>4.5728</v>
      </c>
      <c r="L19" s="14" t="n"/>
      <c r="M19" s="15" t="inlineStr"/>
    </row>
    <row r="20">
      <c r="A20" s="4" t="inlineStr">
        <is>
          <t>Total Direct Equities</t>
        </is>
      </c>
      <c r="C20" s="16">
        <f>SUM(C8:C19)</f>
        <v/>
      </c>
      <c r="D20" s="16">
        <f>SUM(D8:D19)</f>
        <v/>
      </c>
      <c r="E20" s="16">
        <f>SUM(E8:E19)</f>
        <v/>
      </c>
      <c r="F20" s="16">
        <f>SUM(F8:F19)</f>
        <v/>
      </c>
      <c r="G20" s="16">
        <f>SUM(G8:G19)</f>
        <v/>
      </c>
      <c r="H20" s="16">
        <f>SUM(H8:H19)</f>
        <v/>
      </c>
      <c r="I20" s="16">
        <f>SUM(I8:I19)</f>
        <v/>
      </c>
      <c r="J20" s="5" t="n"/>
      <c r="K20" s="5" t="n"/>
      <c r="L20" s="5" t="n"/>
      <c r="M20" s="5" t="n"/>
    </row>
    <row r="21">
      <c r="A21" s="4" t="inlineStr">
        <is>
          <t>B. TOTAL EQUITY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3" ht="16" customHeight="1">
      <c r="A23" s="3" t="inlineStr">
        <is>
          <t>ALTERNATES</t>
        </is>
      </c>
    </row>
    <row r="24">
      <c r="A24" s="4" t="inlineStr">
        <is>
          <t>D. TOTAL ALTERNATES</t>
        </is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6" ht="16" customHeight="1">
      <c r="A26" s="3" t="inlineStr">
        <is>
          <t>E. Funds in Transit</t>
        </is>
      </c>
    </row>
    <row r="28" ht="16" customHeight="1">
      <c r="A28" s="3" t="inlineStr">
        <is>
          <t>F. Broker Balance</t>
        </is>
      </c>
    </row>
    <row r="30" ht="16" customHeight="1">
      <c r="A30" s="3" t="inlineStr">
        <is>
          <t>G. Funds in Bank</t>
        </is>
      </c>
    </row>
    <row r="32">
      <c r="A32" s="4" t="inlineStr">
        <is>
          <t>H. GRAND TOTAL (A+B+D+E+F+G)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4">
      <c r="A34" s="17" t="inlineStr">
        <is>
          <t>Report generated on 08 Jun 2026 10:06 UTC  |  MF data auto-populated from CAS  |  Manual inputs as last updated in portal</t>
        </is>
      </c>
    </row>
  </sheetData>
  <mergeCells count="14">
    <mergeCell ref="A4:B4"/>
    <mergeCell ref="A20:B20"/>
    <mergeCell ref="A21:B21"/>
    <mergeCell ref="A24:B24"/>
    <mergeCell ref="A1:M1"/>
    <mergeCell ref="A23:M23"/>
    <mergeCell ref="A6:M6"/>
    <mergeCell ref="A34:M34"/>
    <mergeCell ref="A32:B32"/>
    <mergeCell ref="A3:M3"/>
    <mergeCell ref="A26:M26"/>
    <mergeCell ref="A30:M30"/>
    <mergeCell ref="A7:M7"/>
    <mergeCell ref="A28:M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2026-06-08T10:06:47Z</dcterms:created>
  <dcterms:modified xsi:type="dcterms:W3CDTF">2026-06-08T10:06:47Z</dcterms:modified>
</cp:coreProperties>
</file>