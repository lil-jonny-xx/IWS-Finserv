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₹#,##0.00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wrapText="1" indent="2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 indent="1"/>
    </xf>
    <xf numFmtId="165" fontId="3" fillId="6" borderId="1" applyAlignment="1" pivotButton="0" quotePrefix="0" xfId="0">
      <alignment horizontal="right"/>
    </xf>
    <xf numFmtId="0" fontId="3" fillId="6" borderId="1" pivotButton="0" quotePrefix="0" xfId="0"/>
    <xf numFmtId="0" fontId="4" fillId="7" borderId="1" applyAlignment="1" pivotButton="0" quotePrefix="0" xfId="0">
      <alignment horizontal="left" wrapText="1" indent="2"/>
    </xf>
    <xf numFmtId="164" fontId="4" fillId="7" borderId="1" applyAlignment="1" pivotButton="0" quotePrefix="0" xfId="0">
      <alignment horizontal="center"/>
    </xf>
    <xf numFmtId="165" fontId="4" fillId="7" borderId="1" applyAlignment="1" pivotButton="0" quotePrefix="0" xfId="0">
      <alignment horizontal="right"/>
    </xf>
    <xf numFmtId="10" fontId="4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left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SDR   |   As on 08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 ht="16" customHeight="1">
      <c r="A4" s="3" t="inlineStr">
        <is>
          <t>MF — Debt / Liquid Funds</t>
        </is>
      </c>
    </row>
    <row r="5">
      <c r="A5" s="4" t="inlineStr">
        <is>
          <t>ICICI Prudential All Seasons Bond Fund - Growth</t>
        </is>
      </c>
      <c r="B5" s="5" t="n"/>
      <c r="C5" s="6" t="n">
        <v>4146387.51</v>
      </c>
      <c r="D5" s="6" t="n">
        <v>5158109.34</v>
      </c>
      <c r="E5" s="6" t="n">
        <v>5158109.3427</v>
      </c>
      <c r="F5" s="6" t="n">
        <v>5141626.49</v>
      </c>
      <c r="G5" s="6" t="n">
        <v>16482.85</v>
      </c>
      <c r="H5" s="6" t="n">
        <v>78915.84</v>
      </c>
      <c r="I5" s="6" t="n">
        <v>1011721.83</v>
      </c>
      <c r="J5" s="7" t="n">
        <v>0.015537</v>
      </c>
      <c r="K5" s="7" t="n">
        <v>0.244001</v>
      </c>
      <c r="L5" s="7" t="n"/>
      <c r="M5" s="8" t="inlineStr"/>
    </row>
    <row r="6">
      <c r="A6" s="9" t="inlineStr">
        <is>
          <t>Total MF Debt / Liquid</t>
        </is>
      </c>
      <c r="C6" s="10">
        <f>SUM(C5:C5)</f>
        <v/>
      </c>
      <c r="D6" s="10">
        <f>SUM(D5:D5)</f>
        <v/>
      </c>
      <c r="E6" s="10">
        <f>SUM(E5:E5)</f>
        <v/>
      </c>
      <c r="F6" s="10">
        <f>SUM(F5:F5)</f>
        <v/>
      </c>
      <c r="G6" s="10">
        <f>SUM(G5:G5)</f>
        <v/>
      </c>
      <c r="H6" s="10">
        <f>SUM(H5:H5)</f>
        <v/>
      </c>
      <c r="I6" s="10">
        <f>SUM(I5:I5)</f>
        <v/>
      </c>
      <c r="J6" s="11" t="n"/>
      <c r="K6" s="11" t="n"/>
      <c r="L6" s="11" t="n"/>
      <c r="M6" s="11" t="n"/>
    </row>
    <row r="7">
      <c r="A7" s="9" t="inlineStr">
        <is>
          <t>A. TOTAL FIXED INCOME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9" ht="16" customHeight="1">
      <c r="A9" s="3" t="inlineStr">
        <is>
          <t>EQUITY</t>
        </is>
      </c>
    </row>
    <row r="10" ht="16" customHeight="1">
      <c r="A10" s="3" t="inlineStr">
        <is>
          <t>MF — Equity Funds</t>
        </is>
      </c>
    </row>
    <row r="11">
      <c r="A11" s="4" t="inlineStr">
        <is>
          <t>ICICI Prudential Dynamic Asset Allocation Active FOF-Growth (formerly ICICI Prudential Advisor Series</t>
        </is>
      </c>
      <c r="B11" s="5" t="n"/>
      <c r="C11" s="6" t="n">
        <v>3700000</v>
      </c>
      <c r="D11" s="6" t="n">
        <v>7781864.58</v>
      </c>
      <c r="E11" s="6" t="n">
        <v>7781864.5805</v>
      </c>
      <c r="F11" s="6" t="n">
        <v>7815024.79</v>
      </c>
      <c r="G11" s="6" t="n">
        <v>-33160.21</v>
      </c>
      <c r="H11" s="6" t="n">
        <v>381265.27</v>
      </c>
      <c r="I11" s="6" t="n">
        <v>4081864.58</v>
      </c>
      <c r="J11" s="7" t="n">
        <v>0.05151799999999999</v>
      </c>
      <c r="K11" s="7" t="n">
        <v>1.103207</v>
      </c>
      <c r="L11" s="7" t="n"/>
      <c r="M11" s="8" t="inlineStr"/>
    </row>
    <row r="12">
      <c r="A12" s="9" t="inlineStr">
        <is>
          <t>Total MF — Equity Funds</t>
        </is>
      </c>
      <c r="C12" s="10">
        <f>SUM(C11:C11)</f>
        <v/>
      </c>
      <c r="D12" s="10">
        <f>SUM(D11:D11)</f>
        <v/>
      </c>
      <c r="E12" s="10">
        <f>SUM(E11:E11)</f>
        <v/>
      </c>
      <c r="F12" s="10">
        <f>SUM(F11:F11)</f>
        <v/>
      </c>
      <c r="G12" s="10">
        <f>SUM(G11:G11)</f>
        <v/>
      </c>
      <c r="H12" s="10">
        <f>SUM(H11:H11)</f>
        <v/>
      </c>
      <c r="I12" s="10">
        <f>SUM(I11:I11)</f>
        <v/>
      </c>
      <c r="J12" s="11" t="n"/>
      <c r="K12" s="11" t="n"/>
      <c r="L12" s="11" t="n"/>
      <c r="M12" s="11" t="n"/>
    </row>
    <row r="13" ht="16" customHeight="1">
      <c r="A13" s="3" t="inlineStr">
        <is>
          <t>Direct Equities</t>
        </is>
      </c>
    </row>
    <row r="14">
      <c r="A14" s="4" t="inlineStr">
        <is>
          <t>BANDHANBNK  [zerodha]</t>
        </is>
      </c>
      <c r="B14" s="5" t="n">
        <v>46181</v>
      </c>
      <c r="C14" s="6" t="n">
        <v>42973</v>
      </c>
      <c r="D14" s="6" t="n">
        <v>26669.5</v>
      </c>
      <c r="E14" s="6" t="n">
        <v>26247</v>
      </c>
      <c r="F14" s="6" t="n"/>
      <c r="G14" s="6" t="n"/>
      <c r="H14" s="6" t="n"/>
      <c r="I14" s="6" t="n">
        <v>-16726</v>
      </c>
      <c r="J14" s="7" t="n"/>
      <c r="K14" s="7" t="n">
        <v>-0.3892</v>
      </c>
      <c r="L14" s="7" t="n"/>
      <c r="M14" s="8" t="inlineStr"/>
    </row>
    <row r="15">
      <c r="A15" s="12" t="inlineStr">
        <is>
          <t>CCAVENUE  [zerodha]</t>
        </is>
      </c>
      <c r="B15" s="13" t="n">
        <v>46181</v>
      </c>
      <c r="C15" s="14" t="n">
        <v>59258.49</v>
      </c>
      <c r="D15" s="14" t="n">
        <v>41340</v>
      </c>
      <c r="E15" s="14" t="n">
        <v>41400</v>
      </c>
      <c r="F15" s="14" t="n"/>
      <c r="G15" s="14" t="n"/>
      <c r="H15" s="14" t="n"/>
      <c r="I15" s="14" t="n">
        <v>-17858.49</v>
      </c>
      <c r="J15" s="15" t="n"/>
      <c r="K15" s="15" t="n">
        <v>-0.3014</v>
      </c>
      <c r="L15" s="15" t="n"/>
      <c r="M15" s="16" t="inlineStr"/>
    </row>
    <row r="16">
      <c r="A16" s="4" t="inlineStr">
        <is>
          <t>GLOBUSSPR  [zerodha]</t>
        </is>
      </c>
      <c r="B16" s="5" t="n">
        <v>46181</v>
      </c>
      <c r="C16" s="6" t="n">
        <v>40259.3</v>
      </c>
      <c r="D16" s="6" t="n">
        <v>85100</v>
      </c>
      <c r="E16" s="6" t="n">
        <v>84330</v>
      </c>
      <c r="F16" s="6" t="n"/>
      <c r="G16" s="6" t="n"/>
      <c r="H16" s="6" t="n"/>
      <c r="I16" s="6" t="n">
        <v>44070.7</v>
      </c>
      <c r="J16" s="7" t="n"/>
      <c r="K16" s="7" t="n">
        <v>1.0947</v>
      </c>
      <c r="L16" s="7" t="n"/>
      <c r="M16" s="8" t="inlineStr"/>
    </row>
    <row r="17">
      <c r="A17" s="12" t="inlineStr">
        <is>
          <t>GOLDBEES  [zerodha]</t>
        </is>
      </c>
      <c r="B17" s="13" t="n">
        <v>46181</v>
      </c>
      <c r="C17" s="14" t="n">
        <v>472706.43</v>
      </c>
      <c r="D17" s="14" t="n">
        <v>869400</v>
      </c>
      <c r="E17" s="14" t="n">
        <v>870030</v>
      </c>
      <c r="F17" s="14" t="n"/>
      <c r="G17" s="14" t="n"/>
      <c r="H17" s="14" t="n"/>
      <c r="I17" s="14" t="n">
        <v>397323.57</v>
      </c>
      <c r="J17" s="15" t="n"/>
      <c r="K17" s="15" t="n">
        <v>0.8405</v>
      </c>
      <c r="L17" s="15" t="n"/>
      <c r="M17" s="16" t="inlineStr"/>
    </row>
    <row r="18">
      <c r="A18" s="4" t="inlineStr">
        <is>
          <t>GOLDIETF  [zerodha]</t>
        </is>
      </c>
      <c r="B18" s="5" t="n">
        <v>46181</v>
      </c>
      <c r="C18" s="6" t="n">
        <v>206896.42</v>
      </c>
      <c r="D18" s="6" t="n">
        <v>513800</v>
      </c>
      <c r="E18" s="6" t="n">
        <v>514200</v>
      </c>
      <c r="F18" s="6" t="n"/>
      <c r="G18" s="6" t="n"/>
      <c r="H18" s="6" t="n"/>
      <c r="I18" s="6" t="n">
        <v>307303.58</v>
      </c>
      <c r="J18" s="7" t="n"/>
      <c r="K18" s="7" t="n">
        <v>1.4853</v>
      </c>
      <c r="L18" s="7" t="n"/>
      <c r="M18" s="8" t="inlineStr"/>
    </row>
    <row r="19">
      <c r="A19" s="12" t="inlineStr">
        <is>
          <t>HAL  [zerodha]</t>
        </is>
      </c>
      <c r="B19" s="13" t="n">
        <v>46181</v>
      </c>
      <c r="C19" s="14" t="n">
        <v>55660</v>
      </c>
      <c r="D19" s="14" t="n">
        <v>42102</v>
      </c>
      <c r="E19" s="14" t="n">
        <v>42280</v>
      </c>
      <c r="F19" s="14" t="n"/>
      <c r="G19" s="14" t="n"/>
      <c r="H19" s="14" t="n"/>
      <c r="I19" s="14" t="n">
        <v>-13380</v>
      </c>
      <c r="J19" s="15" t="n"/>
      <c r="K19" s="15" t="n">
        <v>-0.2404</v>
      </c>
      <c r="L19" s="15" t="n"/>
      <c r="M19" s="16" t="inlineStr"/>
    </row>
    <row r="20">
      <c r="A20" s="4" t="inlineStr">
        <is>
          <t>INFY  [zerodha]</t>
        </is>
      </c>
      <c r="B20" s="5" t="n">
        <v>46181</v>
      </c>
      <c r="C20" s="6" t="n">
        <v>42941</v>
      </c>
      <c r="D20" s="6" t="n">
        <v>42879.6</v>
      </c>
      <c r="E20" s="6" t="n">
        <v>42732</v>
      </c>
      <c r="F20" s="6" t="n"/>
      <c r="G20" s="6" t="n"/>
      <c r="H20" s="6" t="n"/>
      <c r="I20" s="6" t="n">
        <v>-209</v>
      </c>
      <c r="J20" s="7" t="n"/>
      <c r="K20" s="7" t="n">
        <v>-0.0049</v>
      </c>
      <c r="L20" s="7" t="n"/>
      <c r="M20" s="8" t="inlineStr"/>
    </row>
    <row r="21">
      <c r="A21" s="12" t="inlineStr">
        <is>
          <t>JIOFIN  [zerodha]</t>
        </is>
      </c>
      <c r="B21" s="13" t="n">
        <v>46181</v>
      </c>
      <c r="C21" s="14" t="n">
        <v>150510</v>
      </c>
      <c r="D21" s="14" t="n">
        <v>150767.5</v>
      </c>
      <c r="E21" s="14" t="n">
        <v>148297.5</v>
      </c>
      <c r="F21" s="14" t="n"/>
      <c r="G21" s="14" t="n"/>
      <c r="H21" s="14" t="n"/>
      <c r="I21" s="14" t="n">
        <v>-2212.5</v>
      </c>
      <c r="J21" s="15" t="n"/>
      <c r="K21" s="15" t="n">
        <v>-0.0147</v>
      </c>
      <c r="L21" s="15" t="n"/>
      <c r="M21" s="16" t="inlineStr"/>
    </row>
    <row r="22">
      <c r="A22" s="4" t="inlineStr">
        <is>
          <t>KPITTECH  [zerodha]</t>
        </is>
      </c>
      <c r="B22" s="5" t="n">
        <v>46181</v>
      </c>
      <c r="C22" s="6" t="n">
        <v>35498.3</v>
      </c>
      <c r="D22" s="6" t="n">
        <v>76205</v>
      </c>
      <c r="E22" s="6" t="n">
        <v>75200</v>
      </c>
      <c r="F22" s="6" t="n"/>
      <c r="G22" s="6" t="n"/>
      <c r="H22" s="6" t="n"/>
      <c r="I22" s="6" t="n">
        <v>39701.7</v>
      </c>
      <c r="J22" s="7" t="n"/>
      <c r="K22" s="7" t="n">
        <v>1.1184</v>
      </c>
      <c r="L22" s="7" t="n"/>
      <c r="M22" s="8" t="inlineStr"/>
    </row>
    <row r="23">
      <c r="A23" s="12" t="inlineStr">
        <is>
          <t>LT  [zerodha]</t>
        </is>
      </c>
      <c r="B23" s="13" t="n">
        <v>46181</v>
      </c>
      <c r="C23" s="14" t="n">
        <v>37352</v>
      </c>
      <c r="D23" s="14" t="n">
        <v>117111</v>
      </c>
      <c r="E23" s="14" t="n">
        <v>116040</v>
      </c>
      <c r="F23" s="14" t="n"/>
      <c r="G23" s="14" t="n"/>
      <c r="H23" s="14" t="n"/>
      <c r="I23" s="14" t="n">
        <v>78688</v>
      </c>
      <c r="J23" s="15" t="n"/>
      <c r="K23" s="15" t="n">
        <v>2.1067</v>
      </c>
      <c r="L23" s="15" t="n"/>
      <c r="M23" s="16" t="inlineStr"/>
    </row>
    <row r="24">
      <c r="A24" s="4" t="inlineStr">
        <is>
          <t>NATIONALUM  [zerodha]</t>
        </is>
      </c>
      <c r="B24" s="5" t="n">
        <v>46181</v>
      </c>
      <c r="C24" s="6" t="n">
        <v>29052.9</v>
      </c>
      <c r="D24" s="6" t="n">
        <v>61680</v>
      </c>
      <c r="E24" s="6" t="n">
        <v>60176</v>
      </c>
      <c r="F24" s="6" t="n"/>
      <c r="G24" s="6" t="n"/>
      <c r="H24" s="6" t="n"/>
      <c r="I24" s="6" t="n">
        <v>31123.1</v>
      </c>
      <c r="J24" s="7" t="n"/>
      <c r="K24" s="7" t="n">
        <v>1.0713</v>
      </c>
      <c r="L24" s="7" t="n"/>
      <c r="M24" s="8" t="inlineStr"/>
    </row>
    <row r="25">
      <c r="A25" s="12" t="inlineStr">
        <is>
          <t>POLYCAB  [zerodha]</t>
        </is>
      </c>
      <c r="B25" s="13" t="n">
        <v>46181</v>
      </c>
      <c r="C25" s="14" t="n">
        <v>50894</v>
      </c>
      <c r="D25" s="14" t="n">
        <v>288120</v>
      </c>
      <c r="E25" s="14" t="n">
        <v>283620</v>
      </c>
      <c r="F25" s="14" t="n"/>
      <c r="G25" s="14" t="n"/>
      <c r="H25" s="14" t="n"/>
      <c r="I25" s="14" t="n">
        <v>232726</v>
      </c>
      <c r="J25" s="15" t="n"/>
      <c r="K25" s="15" t="n">
        <v>4.5728</v>
      </c>
      <c r="L25" s="15" t="n"/>
      <c r="M25" s="16" t="inlineStr"/>
    </row>
    <row r="26">
      <c r="A26" s="9" t="inlineStr">
        <is>
          <t>Total Direct Equities</t>
        </is>
      </c>
      <c r="C26" s="10">
        <f>SUM(C14:C25)</f>
        <v/>
      </c>
      <c r="D26" s="10">
        <f>SUM(D14:D25)</f>
        <v/>
      </c>
      <c r="E26" s="10">
        <f>SUM(E14:E25)</f>
        <v/>
      </c>
      <c r="F26" s="10">
        <f>SUM(F14:F25)</f>
        <v/>
      </c>
      <c r="G26" s="10">
        <f>SUM(G14:G25)</f>
        <v/>
      </c>
      <c r="H26" s="10">
        <f>SUM(H14:H25)</f>
        <v/>
      </c>
      <c r="I26" s="10">
        <f>SUM(I14:I25)</f>
        <v/>
      </c>
      <c r="J26" s="11" t="n"/>
      <c r="K26" s="11" t="n"/>
      <c r="L26" s="11" t="n"/>
      <c r="M26" s="11" t="n"/>
    </row>
    <row r="27">
      <c r="A27" s="9" t="inlineStr">
        <is>
          <t>B. TOTAL EQUITY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9" ht="16" customHeight="1">
      <c r="A29" s="3" t="inlineStr">
        <is>
          <t>ALTERNATES</t>
        </is>
      </c>
    </row>
    <row r="30">
      <c r="A30" s="9" t="inlineStr">
        <is>
          <t>D. TOTAL ALTERNATES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2" ht="16" customHeight="1">
      <c r="A32" s="3" t="inlineStr">
        <is>
          <t>E. Funds in Transit</t>
        </is>
      </c>
    </row>
    <row r="34" ht="16" customHeight="1">
      <c r="A34" s="3" t="inlineStr">
        <is>
          <t>F. Broker Balance</t>
        </is>
      </c>
    </row>
    <row r="36" ht="16" customHeight="1">
      <c r="A36" s="3" t="inlineStr">
        <is>
          <t>G. Funds in Bank</t>
        </is>
      </c>
    </row>
    <row r="38">
      <c r="A38" s="9" t="inlineStr">
        <is>
          <t>H. GRAND TOTAL (A+B+D+E+F+G)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40">
      <c r="A40" s="17" t="inlineStr">
        <is>
          <t>Report generated on 08 Jun 2026 11:25 UTC  |  MF data auto-populated from CAS  |  Manual inputs as last updated in portal</t>
        </is>
      </c>
    </row>
  </sheetData>
  <mergeCells count="18">
    <mergeCell ref="A13:M13"/>
    <mergeCell ref="A26:B26"/>
    <mergeCell ref="A30:B30"/>
    <mergeCell ref="A36:M36"/>
    <mergeCell ref="A1:M1"/>
    <mergeCell ref="A7:B7"/>
    <mergeCell ref="A32:M32"/>
    <mergeCell ref="A38:B38"/>
    <mergeCell ref="A34:M34"/>
    <mergeCell ref="A9:M9"/>
    <mergeCell ref="A4:M4"/>
    <mergeCell ref="A40:M40"/>
    <mergeCell ref="A3:M3"/>
    <mergeCell ref="A29:M29"/>
    <mergeCell ref="A27:B27"/>
    <mergeCell ref="A6:B6"/>
    <mergeCell ref="A10:M10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2026-06-08T11:25:36Z</dcterms:created>
  <dcterms:modified xsi:type="dcterms:W3CDTF">2026-06-08T11:25:36Z</dcterms:modified>
</cp:coreProperties>
</file>