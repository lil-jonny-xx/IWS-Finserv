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6" borderId="1" applyAlignment="1" pivotButton="0" quotePrefix="0" xfId="0">
      <alignment horizontal="left" wrapText="1" indent="2"/>
    </xf>
    <xf numFmtId="165" fontId="4" fillId="6" borderId="1" applyAlignment="1" pivotButton="0" quotePrefix="0" xfId="0">
      <alignment horizontal="center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left" wrapText="1" indent="2"/>
    </xf>
    <xf numFmtId="165" fontId="4" fillId="7" borderId="1" applyAlignment="1" pivotButton="0" quotePrefix="0" xfId="0">
      <alignment horizontal="center"/>
    </xf>
    <xf numFmtId="166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166" fontId="3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ADR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 ht="16" customHeight="1">
      <c r="A7" s="3" t="inlineStr">
        <is>
          <t>MF — Equity Funds</t>
        </is>
      </c>
    </row>
    <row r="8">
      <c r="A8" s="6" t="inlineStr">
        <is>
          <t>ICICI Prudential Dynamic Asset Allocation Active FOF-Growth (formerly ICICI Prudential Advisor Series</t>
        </is>
      </c>
      <c r="B8" s="7" t="n">
        <v>45527</v>
      </c>
      <c r="C8" s="8" t="n">
        <v>1650383.84</v>
      </c>
      <c r="D8" s="8" t="n">
        <v>1781094.86</v>
      </c>
      <c r="E8" s="8" t="n">
        <v>1781094.855</v>
      </c>
      <c r="F8" s="8" t="n">
        <v>1788684.49</v>
      </c>
      <c r="G8" s="8" t="n">
        <v>-7589.63</v>
      </c>
      <c r="H8" s="8" t="n">
        <v>87263.10000000001</v>
      </c>
      <c r="I8" s="8" t="n">
        <v>130711.02</v>
      </c>
      <c r="J8" s="9" t="n">
        <v>0.05151799999999999</v>
      </c>
      <c r="K8" s="9" t="n">
        <v>0.07919999999999999</v>
      </c>
      <c r="L8" s="9" t="n">
        <v>0.043487</v>
      </c>
      <c r="M8" s="10" t="inlineStr"/>
    </row>
    <row r="9">
      <c r="A9" s="11" t="inlineStr">
        <is>
          <t>SBI Children's Fund - Investment Plan Regular Growth</t>
        </is>
      </c>
      <c r="B9" s="12" t="n"/>
      <c r="C9" s="13" t="n">
        <v>984167.5699999999</v>
      </c>
      <c r="D9" s="13" t="n">
        <v>1151772.98</v>
      </c>
      <c r="E9" s="13" t="n">
        <v>1151772.9825</v>
      </c>
      <c r="F9" s="13" t="n">
        <v>1148106.71</v>
      </c>
      <c r="G9" s="13" t="n">
        <v>3666.27</v>
      </c>
      <c r="H9" s="13" t="n">
        <v>144215.75</v>
      </c>
      <c r="I9" s="13" t="n">
        <v>167605.41</v>
      </c>
      <c r="J9" s="14" t="n">
        <v>0.143134</v>
      </c>
      <c r="K9" s="14" t="n">
        <v>0.170302</v>
      </c>
      <c r="L9" s="14" t="n"/>
      <c r="M9" s="15" t="inlineStr"/>
    </row>
    <row r="10">
      <c r="A10" s="6" t="inlineStr">
        <is>
          <t>SBI Children's Fund - Savings Plan Regular Growth</t>
        </is>
      </c>
      <c r="B10" s="7" t="n"/>
      <c r="C10" s="8" t="n">
        <v>150000</v>
      </c>
      <c r="D10" s="8" t="n">
        <v>176162.58</v>
      </c>
      <c r="E10" s="8" t="n">
        <v>175934.9416</v>
      </c>
      <c r="F10" s="8" t="n">
        <v>174777.67</v>
      </c>
      <c r="G10" s="8" t="n">
        <v>1384.91</v>
      </c>
      <c r="H10" s="8" t="n">
        <v>8700.940000000001</v>
      </c>
      <c r="I10" s="8" t="n">
        <v>26162.58</v>
      </c>
      <c r="J10" s="9" t="n">
        <v>0.051958</v>
      </c>
      <c r="K10" s="9" t="n">
        <v>0.174417</v>
      </c>
      <c r="L10" s="9" t="n"/>
      <c r="M10" s="10" t="inlineStr"/>
    </row>
    <row r="11">
      <c r="A11" s="4" t="inlineStr">
        <is>
          <t>Total MF — Equity Funds</t>
        </is>
      </c>
      <c r="C11" s="16">
        <f>SUM(C8:C10)</f>
        <v/>
      </c>
      <c r="D11" s="16">
        <f>SUM(D8:D10)</f>
        <v/>
      </c>
      <c r="E11" s="16">
        <f>SUM(E8:E10)</f>
        <v/>
      </c>
      <c r="F11" s="16">
        <f>SUM(F8:F10)</f>
        <v/>
      </c>
      <c r="G11" s="16">
        <f>SUM(G8:G10)</f>
        <v/>
      </c>
      <c r="H11" s="16">
        <f>SUM(H8:H10)</f>
        <v/>
      </c>
      <c r="I11" s="16">
        <f>SUM(I8:I10)</f>
        <v/>
      </c>
      <c r="J11" s="5" t="n"/>
      <c r="K11" s="5" t="n"/>
      <c r="L11" s="5" t="n"/>
      <c r="M11" s="5" t="n"/>
    </row>
    <row r="12">
      <c r="A12" s="4" t="inlineStr">
        <is>
          <t>B. TOTAL EQUITY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4" ht="16" customHeight="1">
      <c r="A14" s="3" t="inlineStr">
        <is>
          <t>ALTERNATES</t>
        </is>
      </c>
    </row>
    <row r="15">
      <c r="A15" s="4" t="inlineStr">
        <is>
          <t>D. TOTAL ALTERNATES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7" ht="16" customHeight="1">
      <c r="A17" s="3" t="inlineStr">
        <is>
          <t>E. Funds in Transit</t>
        </is>
      </c>
    </row>
    <row r="19" ht="16" customHeight="1">
      <c r="A19" s="3" t="inlineStr">
        <is>
          <t>F. Broker Balance</t>
        </is>
      </c>
    </row>
    <row r="21" ht="16" customHeight="1">
      <c r="A21" s="3" t="inlineStr">
        <is>
          <t>G. Funds in Bank</t>
        </is>
      </c>
    </row>
    <row r="23">
      <c r="A23" s="4" t="inlineStr">
        <is>
          <t>H. GRAND TOTAL (A+B+D+E+F+G)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5">
      <c r="A25" s="17" t="inlineStr">
        <is>
          <t>Report generated on 09 Jun 2026 11:44 UTC  |  MF data auto-populated from CAS  |  Manual inputs as last updated in portal</t>
        </is>
      </c>
    </row>
  </sheetData>
  <mergeCells count="14">
    <mergeCell ref="A4:B4"/>
    <mergeCell ref="A19:M19"/>
    <mergeCell ref="A14:M14"/>
    <mergeCell ref="A1:M1"/>
    <mergeCell ref="A15:B15"/>
    <mergeCell ref="A6:M6"/>
    <mergeCell ref="A11:B11"/>
    <mergeCell ref="A17:M17"/>
    <mergeCell ref="A23:B23"/>
    <mergeCell ref="A3:M3"/>
    <mergeCell ref="A21:M21"/>
    <mergeCell ref="A7:M7"/>
    <mergeCell ref="A25:M2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